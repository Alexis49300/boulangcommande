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557409755dfea9/Documents/"/>
    </mc:Choice>
  </mc:AlternateContent>
  <xr:revisionPtr revIDLastSave="2957" documentId="8_{1F554377-905F-4804-97D6-D2D01E001CB7}" xr6:coauthVersionLast="47" xr6:coauthVersionMax="47" xr10:uidLastSave="{5DC50F31-C36F-4DCC-9E73-633E0F0ACF29}"/>
  <bookViews>
    <workbookView xWindow="14295" yWindow="0" windowWidth="14610" windowHeight="15585" tabRatio="885" firstSheet="2" activeTab="3" xr2:uid="{AF2A7335-C53A-414D-A362-4A5A4DCD40AA}"/>
  </bookViews>
  <sheets>
    <sheet name="EVOLUTION BEURRE" sheetId="17" r:id="rId1"/>
    <sheet name="MERCURIALE -5%" sheetId="18" r:id="rId2"/>
    <sheet name="SUIVI STOCKS LEBHAR" sheetId="20" r:id="rId3"/>
    <sheet name="TARIFS 12 2025" sheetId="5" r:id="rId4"/>
    <sheet name="VIENNOISERIE - PAP PARIS" sheetId="6" r:id="rId5"/>
    <sheet name="REVENTE - PAP PARIS" sheetId="8" r:id="rId6"/>
    <sheet name="PAIN - PAP PARIS" sheetId="9" r:id="rId7"/>
    <sheet name="PATISSERIE - PAP PARIS" sheetId="11" r:id="rId8"/>
    <sheet name="TRAITEUR - PAP PARIS" sheetId="12" r:id="rId9"/>
    <sheet name="OUTILS" sheetId="10" r:id="rId10"/>
    <sheet name="PATISSERIE - BOULANGE" sheetId="13" r:id="rId11"/>
    <sheet name="TRAITEUR - BOULANGE" sheetId="15" r:id="rId12"/>
  </sheets>
  <definedNames>
    <definedName name="_xlnm._FilterDatabase" localSheetId="3" hidden="1">'TARIFS 12 2025'!$A$2:$J$483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6" i="11" l="1"/>
  <c r="N54" i="11"/>
  <c r="P54" i="11" s="1"/>
  <c r="N49" i="11"/>
  <c r="P49" i="11" s="1"/>
  <c r="N50" i="11"/>
  <c r="P50" i="11" s="1"/>
  <c r="N51" i="11"/>
  <c r="P51" i="11" s="1"/>
  <c r="N52" i="11"/>
  <c r="P52" i="11" s="1"/>
  <c r="N53" i="11"/>
  <c r="P53" i="11" s="1"/>
  <c r="N48" i="11"/>
  <c r="P48" i="11" s="1"/>
  <c r="N47" i="11"/>
  <c r="F241" i="5"/>
  <c r="E267" i="5"/>
  <c r="H11" i="5"/>
  <c r="H255" i="5"/>
  <c r="H399" i="5"/>
  <c r="H115" i="5"/>
  <c r="H204" i="5"/>
  <c r="H203" i="5"/>
  <c r="J56" i="5"/>
  <c r="H56" i="5"/>
  <c r="K49" i="11"/>
  <c r="L47" i="11"/>
  <c r="J49" i="11"/>
  <c r="L49" i="11" s="1"/>
  <c r="J51" i="11"/>
  <c r="L51" i="11" s="1"/>
  <c r="J52" i="11"/>
  <c r="L52" i="11" s="1"/>
  <c r="J53" i="11"/>
  <c r="L53" i="11"/>
  <c r="J55" i="11"/>
  <c r="L55" i="11"/>
  <c r="L48" i="11"/>
  <c r="J58" i="11"/>
  <c r="L58" i="11" s="1"/>
  <c r="L59" i="11"/>
  <c r="J50" i="11"/>
  <c r="L50" i="11" s="1"/>
  <c r="J54" i="11"/>
  <c r="L54" i="11" s="1"/>
  <c r="J56" i="11"/>
  <c r="L56" i="11" s="1"/>
  <c r="J57" i="11"/>
  <c r="L57" i="11" s="1"/>
  <c r="F47" i="11"/>
  <c r="H47" i="11" s="1"/>
  <c r="F52" i="11"/>
  <c r="H52" i="11" s="1"/>
  <c r="N4" i="10"/>
  <c r="P4" i="10" s="1"/>
  <c r="N5" i="10"/>
  <c r="P5" i="10" s="1"/>
  <c r="N6" i="10"/>
  <c r="P6" i="10" s="1"/>
  <c r="N7" i="10"/>
  <c r="P7" i="10" s="1"/>
  <c r="F55" i="11"/>
  <c r="H55" i="11" s="1"/>
  <c r="F56" i="11"/>
  <c r="H56" i="11" s="1"/>
  <c r="G53" i="11"/>
  <c r="F31" i="11"/>
  <c r="H31" i="11" s="1"/>
  <c r="F30" i="11"/>
  <c r="H30" i="11" s="1"/>
  <c r="F29" i="11"/>
  <c r="H29" i="11" s="1"/>
  <c r="F28" i="11"/>
  <c r="H28" i="11" s="1"/>
  <c r="F27" i="11"/>
  <c r="H27" i="11" s="1"/>
  <c r="G26" i="11"/>
  <c r="D20" i="11"/>
  <c r="P20" i="11"/>
  <c r="N4" i="13"/>
  <c r="P4" i="13" s="1"/>
  <c r="N5" i="13"/>
  <c r="P5" i="13" s="1"/>
  <c r="N6" i="13"/>
  <c r="P6" i="13"/>
  <c r="N7" i="13"/>
  <c r="P7" i="13" s="1"/>
  <c r="P20" i="13"/>
  <c r="B4" i="6"/>
  <c r="D4" i="6"/>
  <c r="B5" i="6"/>
  <c r="D5" i="6" s="1"/>
  <c r="B6" i="6"/>
  <c r="D6" i="6" s="1"/>
  <c r="B8" i="6"/>
  <c r="D8" i="6" s="1"/>
  <c r="B10" i="6"/>
  <c r="D10" i="6" s="1"/>
  <c r="B11" i="6"/>
  <c r="D11" i="6" s="1"/>
  <c r="B12" i="6"/>
  <c r="D12" i="6" s="1"/>
  <c r="B26" i="10"/>
  <c r="D26" i="10" s="1"/>
  <c r="B27" i="10"/>
  <c r="D27" i="10" s="1"/>
  <c r="B28" i="10"/>
  <c r="D28" i="10" s="1"/>
  <c r="B29" i="10"/>
  <c r="D29" i="10"/>
  <c r="B30" i="10"/>
  <c r="D30" i="10" s="1"/>
  <c r="B14" i="6"/>
  <c r="D14" i="6" s="1"/>
  <c r="J4" i="13"/>
  <c r="L4" i="13" s="1"/>
  <c r="J5" i="13"/>
  <c r="L5" i="13" s="1"/>
  <c r="L6" i="13"/>
  <c r="J7" i="13"/>
  <c r="L7" i="13" s="1"/>
  <c r="N4" i="8"/>
  <c r="P4" i="8" s="1"/>
  <c r="N5" i="8"/>
  <c r="P5" i="8" s="1"/>
  <c r="N6" i="8"/>
  <c r="P6" i="8" s="1"/>
  <c r="N7" i="8"/>
  <c r="P7" i="8" s="1"/>
  <c r="N8" i="8"/>
  <c r="P8" i="8" s="1"/>
  <c r="N9" i="8"/>
  <c r="P9" i="8" s="1"/>
  <c r="N10" i="8"/>
  <c r="P10" i="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464" i="18"/>
  <c r="D465" i="18"/>
  <c r="D466" i="18"/>
  <c r="D467" i="18"/>
  <c r="D468" i="18"/>
  <c r="D469" i="18"/>
  <c r="D470" i="18"/>
  <c r="D471" i="18"/>
  <c r="D472" i="18"/>
  <c r="D473" i="18"/>
  <c r="D474" i="18"/>
  <c r="D475" i="18"/>
  <c r="D476" i="18"/>
  <c r="D477" i="18"/>
  <c r="D478" i="18"/>
  <c r="D479" i="18"/>
  <c r="D480" i="18"/>
  <c r="D481" i="18"/>
  <c r="D482" i="18"/>
  <c r="D408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297" i="18"/>
  <c r="D291" i="18"/>
  <c r="D292" i="18"/>
  <c r="D293" i="18"/>
  <c r="D290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1" i="18"/>
  <c r="D282" i="18"/>
  <c r="D283" i="18"/>
  <c r="D284" i="18"/>
  <c r="D285" i="18"/>
  <c r="D286" i="18"/>
  <c r="D287" i="18"/>
  <c r="D288" i="18"/>
  <c r="D231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180" i="18"/>
  <c r="D176" i="18"/>
  <c r="D177" i="18"/>
  <c r="D178" i="18"/>
  <c r="D175" i="18"/>
  <c r="D172" i="18"/>
  <c r="D173" i="18"/>
  <c r="D171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32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57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26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3" i="18"/>
  <c r="C404" i="18"/>
  <c r="C225" i="18"/>
  <c r="C197" i="18"/>
  <c r="B69" i="8"/>
  <c r="D69" i="8" s="1"/>
  <c r="B70" i="8"/>
  <c r="D70" i="8" s="1"/>
  <c r="B71" i="8"/>
  <c r="D71" i="8" s="1"/>
  <c r="B68" i="8"/>
  <c r="D68" i="8" s="1"/>
  <c r="B53" i="8"/>
  <c r="D53" i="8" s="1"/>
  <c r="D84" i="8"/>
  <c r="B79" i="8"/>
  <c r="B78" i="8"/>
  <c r="B75" i="8"/>
  <c r="B74" i="8"/>
  <c r="B73" i="8"/>
  <c r="B72" i="8"/>
  <c r="B67" i="8"/>
  <c r="F28" i="8"/>
  <c r="H28" i="8" s="1"/>
  <c r="F29" i="8"/>
  <c r="H29" i="8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7" i="10"/>
  <c r="N48" i="10"/>
  <c r="P48" i="10" s="1"/>
  <c r="N49" i="10"/>
  <c r="P49" i="10" s="1"/>
  <c r="N50" i="10"/>
  <c r="P50" i="10" s="1"/>
  <c r="N51" i="10"/>
  <c r="P51" i="10" s="1"/>
  <c r="N52" i="10"/>
  <c r="P52" i="10" s="1"/>
  <c r="N53" i="10"/>
  <c r="P53" i="10" s="1"/>
  <c r="N54" i="10"/>
  <c r="P54" i="10" s="1"/>
  <c r="N55" i="10"/>
  <c r="P55" i="10" s="1"/>
  <c r="O49" i="10"/>
  <c r="F212" i="5"/>
  <c r="F26" i="8"/>
  <c r="H26" i="8" s="1"/>
  <c r="H27" i="8"/>
  <c r="F30" i="8"/>
  <c r="F31" i="8"/>
  <c r="F32" i="8"/>
  <c r="F33" i="8"/>
  <c r="H42" i="8"/>
  <c r="H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5" i="8"/>
  <c r="F36" i="8"/>
  <c r="F37" i="8"/>
  <c r="D42" i="8"/>
  <c r="C27" i="8"/>
  <c r="B27" i="8"/>
  <c r="D27" i="8" s="1"/>
  <c r="B34" i="8"/>
  <c r="D34" i="8" s="1"/>
  <c r="O47" i="8"/>
  <c r="B47" i="8"/>
  <c r="N47" i="8" s="1"/>
  <c r="P47" i="8" s="1"/>
  <c r="B48" i="8"/>
  <c r="N48" i="8" s="1"/>
  <c r="P48" i="8" s="1"/>
  <c r="B49" i="8"/>
  <c r="N49" i="8" s="1"/>
  <c r="P49" i="8" s="1"/>
  <c r="B50" i="8"/>
  <c r="N50" i="8" s="1"/>
  <c r="P50" i="8" s="1"/>
  <c r="D50" i="8"/>
  <c r="B51" i="8"/>
  <c r="N51" i="8" s="1"/>
  <c r="P51" i="8" s="1"/>
  <c r="B52" i="8"/>
  <c r="N52" i="8" s="1"/>
  <c r="P52" i="8" s="1"/>
  <c r="P54" i="8"/>
  <c r="O59" i="8"/>
  <c r="B26" i="8"/>
  <c r="D26" i="8" s="1"/>
  <c r="B28" i="8"/>
  <c r="D28" i="8" s="1"/>
  <c r="B29" i="8"/>
  <c r="D29" i="8" s="1"/>
  <c r="B30" i="8"/>
  <c r="D30" i="8" s="1"/>
  <c r="B31" i="8"/>
  <c r="D31" i="8" s="1"/>
  <c r="B32" i="8"/>
  <c r="D32" i="8" s="1"/>
  <c r="B33" i="8"/>
  <c r="D33" i="8" s="1"/>
  <c r="J26" i="10"/>
  <c r="L26" i="10" s="1"/>
  <c r="J27" i="10"/>
  <c r="L27" i="10" s="1"/>
  <c r="J28" i="10"/>
  <c r="L28" i="10" s="1"/>
  <c r="J29" i="10"/>
  <c r="L29" i="10" s="1"/>
  <c r="J30" i="10"/>
  <c r="L30" i="10" s="1"/>
  <c r="J31" i="10"/>
  <c r="L31" i="10" s="1"/>
  <c r="J32" i="10"/>
  <c r="L32" i="10" s="1"/>
  <c r="F26" i="10"/>
  <c r="H26" i="10" s="1"/>
  <c r="F27" i="10"/>
  <c r="H27" i="10" s="1"/>
  <c r="F28" i="10"/>
  <c r="H28" i="10" s="1"/>
  <c r="F29" i="10"/>
  <c r="H29" i="10" s="1"/>
  <c r="F30" i="10"/>
  <c r="H30" i="10" s="1"/>
  <c r="F31" i="10"/>
  <c r="H31" i="10" s="1"/>
  <c r="F32" i="10"/>
  <c r="H32" i="10" s="1"/>
  <c r="N6" i="11"/>
  <c r="P6" i="11" s="1"/>
  <c r="E332" i="5"/>
  <c r="E63" i="5"/>
  <c r="E56" i="5"/>
  <c r="E53" i="5"/>
  <c r="E50" i="5"/>
  <c r="O6" i="8"/>
  <c r="G55" i="11"/>
  <c r="H54" i="11"/>
  <c r="H51" i="11"/>
  <c r="H50" i="11"/>
  <c r="H49" i="11"/>
  <c r="H48" i="11"/>
  <c r="D57" i="11"/>
  <c r="C48" i="11"/>
  <c r="C47" i="11"/>
  <c r="P42" i="11"/>
  <c r="L42" i="11"/>
  <c r="K26" i="11"/>
  <c r="C26" i="11"/>
  <c r="J27" i="11"/>
  <c r="L27" i="11" s="1"/>
  <c r="J28" i="11"/>
  <c r="L28" i="11" s="1"/>
  <c r="J29" i="11"/>
  <c r="L29" i="11" s="1"/>
  <c r="J30" i="11"/>
  <c r="L30" i="11" s="1"/>
  <c r="J31" i="11"/>
  <c r="L31" i="11" s="1"/>
  <c r="J32" i="11"/>
  <c r="L32" i="11" s="1"/>
  <c r="J33" i="11"/>
  <c r="L33" i="11" s="1"/>
  <c r="P63" i="11"/>
  <c r="H63" i="11"/>
  <c r="D63" i="11"/>
  <c r="B56" i="11"/>
  <c r="D56" i="11" s="1"/>
  <c r="B55" i="11"/>
  <c r="D55" i="11" s="1"/>
  <c r="B54" i="11"/>
  <c r="D54" i="11" s="1"/>
  <c r="B53" i="11"/>
  <c r="D53" i="11" s="1"/>
  <c r="B52" i="11"/>
  <c r="D52" i="11" s="1"/>
  <c r="D51" i="11"/>
  <c r="B50" i="11"/>
  <c r="D50" i="11" s="1"/>
  <c r="B49" i="11"/>
  <c r="D49" i="11" s="1"/>
  <c r="B48" i="11"/>
  <c r="D48" i="11"/>
  <c r="B47" i="11"/>
  <c r="D47" i="11" s="1"/>
  <c r="O38" i="6"/>
  <c r="K16" i="6"/>
  <c r="P20" i="6"/>
  <c r="L20" i="6"/>
  <c r="H20" i="6"/>
  <c r="D20" i="6"/>
  <c r="P65" i="6"/>
  <c r="L65" i="6"/>
  <c r="H65" i="6"/>
  <c r="D65" i="6"/>
  <c r="P42" i="6"/>
  <c r="L42" i="6"/>
  <c r="H42" i="6"/>
  <c r="D42" i="6"/>
  <c r="L47" i="8"/>
  <c r="L48" i="8"/>
  <c r="L60" i="8"/>
  <c r="K59" i="8"/>
  <c r="L61" i="8"/>
  <c r="F47" i="8"/>
  <c r="H47" i="8" s="1"/>
  <c r="F48" i="8"/>
  <c r="H48" i="8"/>
  <c r="F49" i="8"/>
  <c r="H49" i="8"/>
  <c r="G59" i="8"/>
  <c r="C59" i="8"/>
  <c r="N26" i="8"/>
  <c r="P26" i="8" s="1"/>
  <c r="N27" i="8"/>
  <c r="P27" i="8"/>
  <c r="N28" i="8"/>
  <c r="P28" i="8" s="1"/>
  <c r="N29" i="8"/>
  <c r="P29" i="8" s="1"/>
  <c r="N30" i="8"/>
  <c r="P30" i="8"/>
  <c r="N31" i="8"/>
  <c r="P31" i="8" s="1"/>
  <c r="N32" i="8"/>
  <c r="P32" i="8" s="1"/>
  <c r="D63" i="8"/>
  <c r="P63" i="8"/>
  <c r="L63" i="8"/>
  <c r="L64" i="8"/>
  <c r="L65" i="8"/>
  <c r="H63" i="8"/>
  <c r="F50" i="8"/>
  <c r="F51" i="8"/>
  <c r="F52" i="8"/>
  <c r="F53" i="8"/>
  <c r="F54" i="8"/>
  <c r="B55" i="8"/>
  <c r="F55" i="8"/>
  <c r="J55" i="8"/>
  <c r="B56" i="8"/>
  <c r="J56" i="8"/>
  <c r="F57" i="8"/>
  <c r="F152" i="5"/>
  <c r="F169" i="5"/>
  <c r="F251" i="5"/>
  <c r="G63" i="5"/>
  <c r="J25" i="5"/>
  <c r="N27" i="10"/>
  <c r="P27" i="10" s="1"/>
  <c r="J174" i="5"/>
  <c r="B48" i="10"/>
  <c r="D48" i="10" s="1"/>
  <c r="D61" i="10" s="1"/>
  <c r="D62" i="10" s="1"/>
  <c r="G179" i="5" s="1"/>
  <c r="J179" i="5" s="1"/>
  <c r="F6" i="13" s="1"/>
  <c r="H6" i="13" s="1"/>
  <c r="J48" i="10"/>
  <c r="L48" i="10" s="1"/>
  <c r="J49" i="10"/>
  <c r="L49" i="10" s="1"/>
  <c r="J50" i="10"/>
  <c r="L50" i="10" s="1"/>
  <c r="J226" i="5"/>
  <c r="B4" i="10"/>
  <c r="D4" i="10" s="1"/>
  <c r="B5" i="10"/>
  <c r="D5" i="10" s="1"/>
  <c r="B6" i="10"/>
  <c r="D6" i="10" s="1"/>
  <c r="B4" i="8"/>
  <c r="D4" i="8" s="1"/>
  <c r="B5" i="8"/>
  <c r="D5" i="8" s="1"/>
  <c r="B6" i="8"/>
  <c r="D6" i="8" s="1"/>
  <c r="B7" i="8"/>
  <c r="D7" i="8" s="1"/>
  <c r="B8" i="8"/>
  <c r="D8" i="8" s="1"/>
  <c r="B9" i="8"/>
  <c r="D9" i="8" s="1"/>
  <c r="B10" i="8"/>
  <c r="D10" i="8"/>
  <c r="B11" i="8"/>
  <c r="D11" i="8" s="1"/>
  <c r="J4" i="10"/>
  <c r="L4" i="10" s="1"/>
  <c r="J5" i="10"/>
  <c r="L5" i="10" s="1"/>
  <c r="J6" i="10"/>
  <c r="L6" i="10" s="1"/>
  <c r="J7" i="10"/>
  <c r="L7" i="10" s="1"/>
  <c r="J8" i="10"/>
  <c r="L8" i="10" s="1"/>
  <c r="J9" i="10"/>
  <c r="L9" i="10" s="1"/>
  <c r="J10" i="10"/>
  <c r="L10" i="10" s="1"/>
  <c r="J11" i="10"/>
  <c r="L11" i="10" s="1"/>
  <c r="F4" i="9"/>
  <c r="H4" i="9" s="1"/>
  <c r="F5" i="9"/>
  <c r="H5" i="9" s="1"/>
  <c r="F6" i="9"/>
  <c r="H6" i="9" s="1"/>
  <c r="F7" i="9"/>
  <c r="H7" i="9" s="1"/>
  <c r="H312" i="5"/>
  <c r="H332" i="5"/>
  <c r="F392" i="5"/>
  <c r="F401" i="5"/>
  <c r="F48" i="10"/>
  <c r="H48" i="10" s="1"/>
  <c r="F49" i="10"/>
  <c r="H49" i="10" s="1"/>
  <c r="F50" i="10"/>
  <c r="H50" i="10" s="1"/>
  <c r="F51" i="10"/>
  <c r="H51" i="10" s="1"/>
  <c r="F52" i="10"/>
  <c r="H52" i="10" s="1"/>
  <c r="F53" i="10"/>
  <c r="H53" i="10" s="1"/>
  <c r="F54" i="10"/>
  <c r="H54" i="10" s="1"/>
  <c r="D408" i="5"/>
  <c r="J408" i="5"/>
  <c r="H411" i="5"/>
  <c r="H412" i="5"/>
  <c r="H414" i="5"/>
  <c r="F479" i="5"/>
  <c r="F58" i="8"/>
  <c r="N27" i="15"/>
  <c r="P27" i="15"/>
  <c r="N28" i="15"/>
  <c r="P28" i="15" s="1"/>
  <c r="N29" i="15"/>
  <c r="P29" i="15"/>
  <c r="P42" i="15"/>
  <c r="L105" i="12"/>
  <c r="L92" i="12"/>
  <c r="J93" i="12"/>
  <c r="L93" i="12" s="1"/>
  <c r="J94" i="12"/>
  <c r="L94" i="12" s="1"/>
  <c r="J95" i="12"/>
  <c r="L95" i="12" s="1"/>
  <c r="J96" i="12"/>
  <c r="J97" i="12"/>
  <c r="N27" i="11"/>
  <c r="P27" i="11" s="1"/>
  <c r="N28" i="11"/>
  <c r="P28" i="11" s="1"/>
  <c r="F28" i="5"/>
  <c r="J37" i="11"/>
  <c r="B28" i="12"/>
  <c r="D28" i="12" s="1"/>
  <c r="B27" i="12"/>
  <c r="D27" i="12" s="1"/>
  <c r="B32" i="12"/>
  <c r="D32" i="12" s="1"/>
  <c r="D397" i="5"/>
  <c r="E483" i="5"/>
  <c r="O16" i="6"/>
  <c r="F90" i="12"/>
  <c r="H90" i="12" s="1"/>
  <c r="H105" i="12"/>
  <c r="F91" i="12"/>
  <c r="H91" i="12" s="1"/>
  <c r="H92" i="12"/>
  <c r="F93" i="12"/>
  <c r="H93" i="12" s="1"/>
  <c r="F94" i="12"/>
  <c r="H94" i="12" s="1"/>
  <c r="F100" i="12"/>
  <c r="F99" i="12"/>
  <c r="F97" i="12"/>
  <c r="F96" i="12"/>
  <c r="F95" i="12"/>
  <c r="H95" i="12" s="1"/>
  <c r="F72" i="12"/>
  <c r="H72" i="12"/>
  <c r="E438" i="5"/>
  <c r="E401" i="5"/>
  <c r="E262" i="5"/>
  <c r="E155" i="5"/>
  <c r="D12" i="5"/>
  <c r="P42" i="8"/>
  <c r="J57" i="12"/>
  <c r="P5" i="11"/>
  <c r="C61" i="6"/>
  <c r="G61" i="6"/>
  <c r="D7" i="6"/>
  <c r="D9" i="6"/>
  <c r="F4" i="6"/>
  <c r="H4" i="6"/>
  <c r="F5" i="6"/>
  <c r="H5" i="6" s="1"/>
  <c r="F6" i="6"/>
  <c r="H6" i="6" s="1"/>
  <c r="F7" i="6"/>
  <c r="H7" i="6" s="1"/>
  <c r="F8" i="6"/>
  <c r="H8" i="6" s="1"/>
  <c r="H9" i="6"/>
  <c r="F10" i="6"/>
  <c r="H10" i="6" s="1"/>
  <c r="F11" i="6"/>
  <c r="H11" i="6"/>
  <c r="F12" i="6"/>
  <c r="H12" i="6" s="1"/>
  <c r="F14" i="6"/>
  <c r="H14" i="6" s="1"/>
  <c r="F15" i="6"/>
  <c r="H15" i="6" s="1"/>
  <c r="B7" i="6"/>
  <c r="D105" i="12"/>
  <c r="D93" i="12"/>
  <c r="B90" i="12"/>
  <c r="D90" i="12"/>
  <c r="D91" i="12"/>
  <c r="D92" i="12"/>
  <c r="B94" i="12"/>
  <c r="B95" i="12"/>
  <c r="B96" i="12"/>
  <c r="B97" i="12"/>
  <c r="B98" i="12"/>
  <c r="B99" i="12"/>
  <c r="G16" i="6"/>
  <c r="E257" i="5"/>
  <c r="P73" i="12"/>
  <c r="P84" i="12"/>
  <c r="N70" i="12"/>
  <c r="P70" i="12" s="1"/>
  <c r="N71" i="12"/>
  <c r="P71" i="12" s="1"/>
  <c r="N72" i="12"/>
  <c r="P72" i="12" s="1"/>
  <c r="N74" i="12"/>
  <c r="O68" i="12"/>
  <c r="J70" i="12"/>
  <c r="L70" i="12" s="1"/>
  <c r="J71" i="12"/>
  <c r="L71" i="12" s="1"/>
  <c r="J72" i="12"/>
  <c r="L72" i="12" s="1"/>
  <c r="L69" i="12"/>
  <c r="L84" i="12"/>
  <c r="N76" i="12"/>
  <c r="J76" i="12"/>
  <c r="N75" i="12"/>
  <c r="P69" i="12"/>
  <c r="N68" i="12"/>
  <c r="P68" i="12" s="1"/>
  <c r="C69" i="12"/>
  <c r="B69" i="12"/>
  <c r="D69" i="12" s="1"/>
  <c r="B70" i="12"/>
  <c r="D70" i="12" s="1"/>
  <c r="C68" i="12"/>
  <c r="H84" i="12"/>
  <c r="D84" i="12"/>
  <c r="F79" i="12"/>
  <c r="B79" i="12"/>
  <c r="F78" i="12"/>
  <c r="B78" i="12"/>
  <c r="F76" i="12"/>
  <c r="F75" i="12"/>
  <c r="F74" i="12"/>
  <c r="F73" i="12"/>
  <c r="H73" i="12" s="1"/>
  <c r="B71" i="12"/>
  <c r="D71" i="12" s="1"/>
  <c r="H71" i="12"/>
  <c r="F70" i="12"/>
  <c r="H70" i="12" s="1"/>
  <c r="F69" i="12"/>
  <c r="H69" i="12" s="1"/>
  <c r="B68" i="12"/>
  <c r="D68" i="12" s="1"/>
  <c r="J12" i="6"/>
  <c r="L12" i="6" s="1"/>
  <c r="C15" i="6"/>
  <c r="L20" i="11"/>
  <c r="H20" i="11"/>
  <c r="F6" i="11"/>
  <c r="H6" i="11"/>
  <c r="D42" i="11"/>
  <c r="B27" i="11"/>
  <c r="D27" i="11" s="1"/>
  <c r="B28" i="11"/>
  <c r="D28" i="11" s="1"/>
  <c r="B29" i="11"/>
  <c r="D29" i="11" s="1"/>
  <c r="B30" i="11"/>
  <c r="D30" i="11" s="1"/>
  <c r="B31" i="11"/>
  <c r="D31" i="11" s="1"/>
  <c r="C32" i="11"/>
  <c r="B32" i="11"/>
  <c r="D32" i="11" s="1"/>
  <c r="B33" i="11"/>
  <c r="D33" i="11" s="1"/>
  <c r="H42" i="11"/>
  <c r="J8" i="11"/>
  <c r="L8" i="11" s="1"/>
  <c r="K7" i="11"/>
  <c r="K8" i="11"/>
  <c r="K9" i="11"/>
  <c r="K6" i="11"/>
  <c r="K5" i="11"/>
  <c r="J6" i="11"/>
  <c r="L6" i="11" s="1"/>
  <c r="J7" i="11"/>
  <c r="L7" i="11" s="1"/>
  <c r="J9" i="11"/>
  <c r="L9" i="11" s="1"/>
  <c r="J10" i="11"/>
  <c r="L10" i="11" s="1"/>
  <c r="D476" i="5"/>
  <c r="D85" i="5"/>
  <c r="D439" i="5"/>
  <c r="N54" i="12"/>
  <c r="D268" i="5"/>
  <c r="E394" i="5"/>
  <c r="D410" i="5"/>
  <c r="D409" i="5"/>
  <c r="E439" i="5"/>
  <c r="D398" i="5"/>
  <c r="E270" i="5"/>
  <c r="D82" i="5"/>
  <c r="H20" i="13"/>
  <c r="F59" i="10"/>
  <c r="F58" i="10"/>
  <c r="J57" i="10"/>
  <c r="B57" i="10"/>
  <c r="N56" i="10"/>
  <c r="J56" i="10"/>
  <c r="F56" i="10"/>
  <c r="B56" i="10"/>
  <c r="J55" i="10"/>
  <c r="F55" i="10"/>
  <c r="B55" i="10"/>
  <c r="J54" i="10"/>
  <c r="B54" i="10"/>
  <c r="J53" i="10"/>
  <c r="B53" i="10"/>
  <c r="J52" i="10"/>
  <c r="B52" i="10"/>
  <c r="J51" i="10"/>
  <c r="B51" i="10"/>
  <c r="B50" i="10"/>
  <c r="D49" i="10"/>
  <c r="N53" i="12"/>
  <c r="P53" i="12" s="1"/>
  <c r="N50" i="12"/>
  <c r="P50" i="12" s="1"/>
  <c r="N49" i="12"/>
  <c r="P49" i="12" s="1"/>
  <c r="J53" i="12"/>
  <c r="L53" i="12" s="1"/>
  <c r="J51" i="12"/>
  <c r="L51" i="12" s="1"/>
  <c r="J48" i="12"/>
  <c r="L48" i="12"/>
  <c r="J49" i="12"/>
  <c r="L49" i="12" s="1"/>
  <c r="J50" i="12"/>
  <c r="L50" i="12" s="1"/>
  <c r="J52" i="12"/>
  <c r="L52" i="12" s="1"/>
  <c r="J47" i="12"/>
  <c r="L47" i="12"/>
  <c r="F51" i="12"/>
  <c r="H51" i="12" s="1"/>
  <c r="F48" i="12"/>
  <c r="H48" i="12" s="1"/>
  <c r="F49" i="12"/>
  <c r="H49" i="12" s="1"/>
  <c r="F50" i="12"/>
  <c r="H50" i="12" s="1"/>
  <c r="F52" i="12"/>
  <c r="H52" i="12" s="1"/>
  <c r="F53" i="12"/>
  <c r="F47" i="12"/>
  <c r="H47" i="12" s="1"/>
  <c r="B54" i="12"/>
  <c r="D54" i="12" s="1"/>
  <c r="B52" i="12"/>
  <c r="D52" i="12" s="1"/>
  <c r="B49" i="12"/>
  <c r="D49" i="12" s="1"/>
  <c r="B48" i="12"/>
  <c r="D48" i="12" s="1"/>
  <c r="B50" i="12"/>
  <c r="D50" i="12" s="1"/>
  <c r="B51" i="12"/>
  <c r="D51" i="12" s="1"/>
  <c r="B53" i="12"/>
  <c r="D53" i="12" s="1"/>
  <c r="B47" i="12"/>
  <c r="D47" i="12" s="1"/>
  <c r="P63" i="12"/>
  <c r="N55" i="12"/>
  <c r="N52" i="12"/>
  <c r="P52" i="12" s="1"/>
  <c r="N51" i="12"/>
  <c r="P51" i="12" s="1"/>
  <c r="N48" i="12"/>
  <c r="P48" i="12" s="1"/>
  <c r="N47" i="12"/>
  <c r="P47" i="12" s="1"/>
  <c r="L63" i="12"/>
  <c r="J55" i="12"/>
  <c r="H63" i="12"/>
  <c r="F58" i="12"/>
  <c r="F57" i="12"/>
  <c r="F55" i="12"/>
  <c r="F54" i="12"/>
  <c r="D63" i="12"/>
  <c r="B58" i="12"/>
  <c r="B57" i="12"/>
  <c r="B55" i="12"/>
  <c r="N26" i="12"/>
  <c r="P26" i="12" s="1"/>
  <c r="N27" i="12"/>
  <c r="P27" i="12" s="1"/>
  <c r="J26" i="15"/>
  <c r="L26" i="15" s="1"/>
  <c r="J27" i="15"/>
  <c r="L27" i="15" s="1"/>
  <c r="P42" i="12"/>
  <c r="O9" i="15"/>
  <c r="L42" i="15"/>
  <c r="H42" i="15"/>
  <c r="D42" i="15"/>
  <c r="F37" i="15"/>
  <c r="F36" i="15"/>
  <c r="B36" i="15"/>
  <c r="J35" i="15"/>
  <c r="B35" i="15"/>
  <c r="N34" i="15"/>
  <c r="J34" i="15"/>
  <c r="F34" i="15"/>
  <c r="B34" i="15"/>
  <c r="N33" i="15"/>
  <c r="J33" i="15"/>
  <c r="F33" i="15"/>
  <c r="B33" i="15"/>
  <c r="N32" i="15"/>
  <c r="J32" i="15"/>
  <c r="F32" i="15"/>
  <c r="B32" i="15"/>
  <c r="D32" i="15"/>
  <c r="N31" i="15"/>
  <c r="J31" i="15"/>
  <c r="L31" i="15" s="1"/>
  <c r="F31" i="15"/>
  <c r="H31" i="15" s="1"/>
  <c r="B31" i="15"/>
  <c r="D31" i="15"/>
  <c r="N30" i="15"/>
  <c r="J30" i="15"/>
  <c r="L30" i="15" s="1"/>
  <c r="F30" i="15"/>
  <c r="H30" i="15" s="1"/>
  <c r="B30" i="15"/>
  <c r="D30" i="15" s="1"/>
  <c r="J29" i="15"/>
  <c r="L29" i="15" s="1"/>
  <c r="F29" i="15"/>
  <c r="H29" i="15" s="1"/>
  <c r="B29" i="15"/>
  <c r="D29" i="15" s="1"/>
  <c r="J28" i="15"/>
  <c r="L28" i="15" s="1"/>
  <c r="F28" i="15"/>
  <c r="H28" i="15" s="1"/>
  <c r="B28" i="15"/>
  <c r="D28" i="15" s="1"/>
  <c r="H27" i="15"/>
  <c r="B27" i="15"/>
  <c r="D27" i="15" s="1"/>
  <c r="H26" i="15"/>
  <c r="B26" i="15"/>
  <c r="D26" i="15" s="1"/>
  <c r="N15" i="15"/>
  <c r="J15" i="15"/>
  <c r="N14" i="15"/>
  <c r="J14" i="15"/>
  <c r="B14" i="15"/>
  <c r="N13" i="15"/>
  <c r="J13" i="15"/>
  <c r="B13" i="15"/>
  <c r="N12" i="15"/>
  <c r="J12" i="15"/>
  <c r="B12" i="15"/>
  <c r="N11" i="15"/>
  <c r="J11" i="15"/>
  <c r="B11" i="15"/>
  <c r="N10" i="15"/>
  <c r="J10" i="15"/>
  <c r="L10" i="15" s="1"/>
  <c r="F10" i="15"/>
  <c r="H10" i="15" s="1"/>
  <c r="B10" i="15"/>
  <c r="D10" i="15" s="1"/>
  <c r="N9" i="15"/>
  <c r="P9" i="15" s="1"/>
  <c r="J9" i="15"/>
  <c r="L9" i="15" s="1"/>
  <c r="F9" i="15"/>
  <c r="H9" i="15"/>
  <c r="B9" i="15"/>
  <c r="D9" i="15" s="1"/>
  <c r="N8" i="15"/>
  <c r="P8" i="15" s="1"/>
  <c r="J8" i="15"/>
  <c r="L8" i="15" s="1"/>
  <c r="F8" i="15"/>
  <c r="H8" i="15" s="1"/>
  <c r="B8" i="15"/>
  <c r="D8" i="15" s="1"/>
  <c r="N7" i="15"/>
  <c r="P7" i="15" s="1"/>
  <c r="J7" i="15"/>
  <c r="L7" i="15" s="1"/>
  <c r="F7" i="15"/>
  <c r="H7" i="15" s="1"/>
  <c r="B7" i="15"/>
  <c r="D7" i="15" s="1"/>
  <c r="N6" i="15"/>
  <c r="P6" i="15" s="1"/>
  <c r="J6" i="15"/>
  <c r="L6" i="15" s="1"/>
  <c r="F6" i="15"/>
  <c r="H6" i="15" s="1"/>
  <c r="B6" i="15"/>
  <c r="D6" i="15" s="1"/>
  <c r="N5" i="15"/>
  <c r="P5" i="15" s="1"/>
  <c r="B5" i="15"/>
  <c r="D5" i="15" s="1"/>
  <c r="L42" i="12"/>
  <c r="L26" i="12"/>
  <c r="L27" i="12"/>
  <c r="H42" i="12"/>
  <c r="D42" i="12"/>
  <c r="F37" i="13"/>
  <c r="F36" i="13"/>
  <c r="J35" i="13"/>
  <c r="L35" i="13" s="1"/>
  <c r="B35" i="13"/>
  <c r="N34" i="13"/>
  <c r="P34" i="13" s="1"/>
  <c r="J34" i="13"/>
  <c r="L34" i="13" s="1"/>
  <c r="F34" i="13"/>
  <c r="H34" i="13" s="1"/>
  <c r="B34" i="13"/>
  <c r="N33" i="13"/>
  <c r="P33" i="13"/>
  <c r="J33" i="13"/>
  <c r="L33" i="13" s="1"/>
  <c r="F33" i="13"/>
  <c r="H33" i="13" s="1"/>
  <c r="B33" i="13"/>
  <c r="N32" i="13"/>
  <c r="P32" i="13" s="1"/>
  <c r="J32" i="13"/>
  <c r="L32" i="13" s="1"/>
  <c r="F32" i="13"/>
  <c r="H32" i="13" s="1"/>
  <c r="B32" i="13"/>
  <c r="D32" i="13" s="1"/>
  <c r="N31" i="13"/>
  <c r="P31" i="13"/>
  <c r="J31" i="13"/>
  <c r="L31" i="13" s="1"/>
  <c r="F31" i="13"/>
  <c r="H31" i="13" s="1"/>
  <c r="B31" i="13"/>
  <c r="D31" i="13" s="1"/>
  <c r="N30" i="13"/>
  <c r="P30" i="13" s="1"/>
  <c r="J30" i="13"/>
  <c r="L30" i="13" s="1"/>
  <c r="F30" i="13"/>
  <c r="H30" i="13" s="1"/>
  <c r="B30" i="13"/>
  <c r="D30" i="13" s="1"/>
  <c r="N29" i="13"/>
  <c r="P29" i="13" s="1"/>
  <c r="J29" i="13"/>
  <c r="L29" i="13" s="1"/>
  <c r="F29" i="13"/>
  <c r="H29" i="13"/>
  <c r="B29" i="13"/>
  <c r="D29" i="13" s="1"/>
  <c r="N28" i="13"/>
  <c r="P28" i="13" s="1"/>
  <c r="J28" i="13"/>
  <c r="L28" i="13" s="1"/>
  <c r="F28" i="13"/>
  <c r="H28" i="13" s="1"/>
  <c r="B28" i="13"/>
  <c r="D28" i="13" s="1"/>
  <c r="N27" i="13"/>
  <c r="P27" i="13"/>
  <c r="J27" i="13"/>
  <c r="L27" i="13" s="1"/>
  <c r="F27" i="13"/>
  <c r="H27" i="13" s="1"/>
  <c r="B27" i="13"/>
  <c r="D27" i="13" s="1"/>
  <c r="N26" i="13"/>
  <c r="P26" i="13" s="1"/>
  <c r="P39" i="13" s="1"/>
  <c r="P40" i="13" s="1"/>
  <c r="P43" i="13" s="1"/>
  <c r="J26" i="13"/>
  <c r="L26" i="13" s="1"/>
  <c r="L39" i="13" s="1"/>
  <c r="L40" i="13" s="1"/>
  <c r="L43" i="13" s="1"/>
  <c r="F26" i="13"/>
  <c r="H26" i="13" s="1"/>
  <c r="H39" i="13" s="1"/>
  <c r="H40" i="13" s="1"/>
  <c r="H43" i="13" s="1"/>
  <c r="B26" i="13"/>
  <c r="D26" i="13" s="1"/>
  <c r="D39" i="13" s="1"/>
  <c r="D40" i="13" s="1"/>
  <c r="D43" i="13" s="1"/>
  <c r="N15" i="13"/>
  <c r="J15" i="13"/>
  <c r="N14" i="13"/>
  <c r="J14" i="13"/>
  <c r="B14" i="13"/>
  <c r="N13" i="13"/>
  <c r="J13" i="13"/>
  <c r="B13" i="13"/>
  <c r="N12" i="13"/>
  <c r="J12" i="13"/>
  <c r="B12" i="13"/>
  <c r="N11" i="13"/>
  <c r="J11" i="13"/>
  <c r="B11" i="13"/>
  <c r="N10" i="13"/>
  <c r="J10" i="13"/>
  <c r="L10" i="13"/>
  <c r="F10" i="13"/>
  <c r="N9" i="13"/>
  <c r="J9" i="13"/>
  <c r="L9" i="13" s="1"/>
  <c r="F9" i="13"/>
  <c r="N8" i="13"/>
  <c r="J8" i="13"/>
  <c r="L8" i="13" s="1"/>
  <c r="F8" i="13"/>
  <c r="B8" i="13"/>
  <c r="D8" i="13" s="1"/>
  <c r="H7" i="13"/>
  <c r="B7" i="13"/>
  <c r="D7" i="13"/>
  <c r="B6" i="13"/>
  <c r="D6" i="13" s="1"/>
  <c r="B5" i="13"/>
  <c r="D5" i="13"/>
  <c r="B4" i="13"/>
  <c r="D4" i="13" s="1"/>
  <c r="B36" i="12"/>
  <c r="B26" i="12"/>
  <c r="D26" i="12" s="1"/>
  <c r="N5" i="12"/>
  <c r="P5" i="12" s="1"/>
  <c r="N6" i="12"/>
  <c r="P6" i="12" s="1"/>
  <c r="N7" i="12"/>
  <c r="P7" i="12" s="1"/>
  <c r="N8" i="12"/>
  <c r="P8" i="12"/>
  <c r="J5" i="12"/>
  <c r="L5" i="12" s="1"/>
  <c r="J6" i="12"/>
  <c r="L6" i="12"/>
  <c r="J7" i="12"/>
  <c r="L7" i="12" s="1"/>
  <c r="F8" i="12"/>
  <c r="H8" i="12"/>
  <c r="F5" i="12"/>
  <c r="H5" i="12" s="1"/>
  <c r="B6" i="12"/>
  <c r="D6" i="12"/>
  <c r="B7" i="12"/>
  <c r="D7" i="12"/>
  <c r="J9" i="9"/>
  <c r="L9" i="9" s="1"/>
  <c r="F37" i="12"/>
  <c r="F36" i="12"/>
  <c r="J35" i="12"/>
  <c r="B35" i="12"/>
  <c r="N34" i="12"/>
  <c r="J34" i="12"/>
  <c r="F34" i="12"/>
  <c r="B34" i="12"/>
  <c r="D34" i="12" s="1"/>
  <c r="N33" i="12"/>
  <c r="J33" i="12"/>
  <c r="F33" i="12"/>
  <c r="B33" i="12"/>
  <c r="D33" i="12"/>
  <c r="J32" i="12"/>
  <c r="L32" i="12" s="1"/>
  <c r="F32" i="12"/>
  <c r="H32" i="12" s="1"/>
  <c r="N31" i="12"/>
  <c r="P31" i="12"/>
  <c r="J31" i="12"/>
  <c r="L31" i="12" s="1"/>
  <c r="F31" i="12"/>
  <c r="H31" i="12"/>
  <c r="B31" i="12"/>
  <c r="D31" i="12" s="1"/>
  <c r="N30" i="12"/>
  <c r="P30" i="12"/>
  <c r="J30" i="12"/>
  <c r="L30" i="12" s="1"/>
  <c r="F30" i="12"/>
  <c r="H30" i="12" s="1"/>
  <c r="B30" i="12"/>
  <c r="D30" i="12"/>
  <c r="N29" i="12"/>
  <c r="P29" i="12" s="1"/>
  <c r="J29" i="12"/>
  <c r="L29" i="12" s="1"/>
  <c r="F29" i="12"/>
  <c r="H29" i="12" s="1"/>
  <c r="B29" i="12"/>
  <c r="D29" i="12" s="1"/>
  <c r="N28" i="12"/>
  <c r="P28" i="12" s="1"/>
  <c r="J28" i="12"/>
  <c r="L28" i="12" s="1"/>
  <c r="F28" i="12"/>
  <c r="H28" i="12" s="1"/>
  <c r="H27" i="12"/>
  <c r="N15" i="12"/>
  <c r="J15" i="12"/>
  <c r="N14" i="12"/>
  <c r="J14" i="12"/>
  <c r="B14" i="12"/>
  <c r="N13" i="12"/>
  <c r="J13" i="12"/>
  <c r="B13" i="12"/>
  <c r="N12" i="12"/>
  <c r="J12" i="12"/>
  <c r="B12" i="12"/>
  <c r="N11" i="12"/>
  <c r="J11" i="12"/>
  <c r="B11" i="12"/>
  <c r="N10" i="12"/>
  <c r="J10" i="12"/>
  <c r="F10" i="12"/>
  <c r="B10" i="12"/>
  <c r="N9" i="12"/>
  <c r="J9" i="12"/>
  <c r="F9" i="12"/>
  <c r="B9" i="12"/>
  <c r="J8" i="12"/>
  <c r="B8" i="12"/>
  <c r="F7" i="12"/>
  <c r="H7" i="12" s="1"/>
  <c r="F6" i="12"/>
  <c r="H6" i="12" s="1"/>
  <c r="F37" i="11"/>
  <c r="F36" i="11"/>
  <c r="J35" i="11"/>
  <c r="B35" i="11"/>
  <c r="N34" i="11"/>
  <c r="P34" i="11" s="1"/>
  <c r="F34" i="11"/>
  <c r="N33" i="11"/>
  <c r="P33" i="11"/>
  <c r="F33" i="11"/>
  <c r="N32" i="11"/>
  <c r="P32" i="11"/>
  <c r="F32" i="11"/>
  <c r="N31" i="11"/>
  <c r="P31" i="11" s="1"/>
  <c r="N30" i="11"/>
  <c r="P30" i="11"/>
  <c r="N29" i="11"/>
  <c r="P29" i="11" s="1"/>
  <c r="N26" i="11"/>
  <c r="P26" i="11" s="1"/>
  <c r="N15" i="11"/>
  <c r="J15" i="11"/>
  <c r="N14" i="11"/>
  <c r="J14" i="11"/>
  <c r="B14" i="11"/>
  <c r="N13" i="11"/>
  <c r="J13" i="11"/>
  <c r="L13" i="11" s="1"/>
  <c r="B13" i="11"/>
  <c r="N12" i="11"/>
  <c r="J12" i="11"/>
  <c r="L12" i="11" s="1"/>
  <c r="B12" i="11"/>
  <c r="N11" i="11"/>
  <c r="L11" i="11"/>
  <c r="B11" i="11"/>
  <c r="N10" i="11"/>
  <c r="F10" i="11"/>
  <c r="B10" i="11"/>
  <c r="N9" i="11"/>
  <c r="F9" i="11"/>
  <c r="B9" i="11"/>
  <c r="N8" i="11"/>
  <c r="F8" i="11"/>
  <c r="B8" i="11"/>
  <c r="N7" i="11"/>
  <c r="F7" i="11"/>
  <c r="N5" i="11"/>
  <c r="J33" i="8"/>
  <c r="L33" i="8" s="1"/>
  <c r="J32" i="8"/>
  <c r="L32" i="8"/>
  <c r="B53" i="6"/>
  <c r="D53" i="6"/>
  <c r="F11" i="10"/>
  <c r="H11" i="10" s="1"/>
  <c r="F12" i="10"/>
  <c r="H12" i="10" s="1"/>
  <c r="F13" i="10"/>
  <c r="H13" i="10" s="1"/>
  <c r="F37" i="10"/>
  <c r="F36" i="10"/>
  <c r="J35" i="10"/>
  <c r="B35" i="10"/>
  <c r="J34" i="10"/>
  <c r="F34" i="10"/>
  <c r="B34" i="10"/>
  <c r="F33" i="10"/>
  <c r="B33" i="10"/>
  <c r="B32" i="10"/>
  <c r="B31" i="10"/>
  <c r="N15" i="10"/>
  <c r="J15" i="10"/>
  <c r="N14" i="10"/>
  <c r="J14" i="10"/>
  <c r="B14" i="10"/>
  <c r="N13" i="10"/>
  <c r="J13" i="10"/>
  <c r="B13" i="10"/>
  <c r="N12" i="10"/>
  <c r="J12" i="10"/>
  <c r="B12" i="10"/>
  <c r="N11" i="10"/>
  <c r="B11" i="10"/>
  <c r="N10" i="10"/>
  <c r="F10" i="10"/>
  <c r="H10" i="10" s="1"/>
  <c r="B10" i="10"/>
  <c r="N9" i="10"/>
  <c r="F9" i="10"/>
  <c r="H9" i="10" s="1"/>
  <c r="B9" i="10"/>
  <c r="N8" i="10"/>
  <c r="F8" i="10"/>
  <c r="H8" i="10" s="1"/>
  <c r="B8" i="10"/>
  <c r="F7" i="10"/>
  <c r="H7" i="10" s="1"/>
  <c r="F6" i="10"/>
  <c r="H6" i="10" s="1"/>
  <c r="F5" i="10"/>
  <c r="H5" i="10"/>
  <c r="F4" i="10"/>
  <c r="H4" i="10"/>
  <c r="F37" i="9"/>
  <c r="F36" i="9"/>
  <c r="J35" i="9"/>
  <c r="L35" i="9" s="1"/>
  <c r="B35" i="9"/>
  <c r="N34" i="9"/>
  <c r="P34" i="9" s="1"/>
  <c r="J34" i="9"/>
  <c r="L34" i="9" s="1"/>
  <c r="F34" i="9"/>
  <c r="H34" i="9" s="1"/>
  <c r="B34" i="9"/>
  <c r="N33" i="9"/>
  <c r="P33" i="9" s="1"/>
  <c r="J33" i="9"/>
  <c r="L33" i="9"/>
  <c r="F33" i="9"/>
  <c r="H33" i="9" s="1"/>
  <c r="B33" i="9"/>
  <c r="N32" i="9"/>
  <c r="P32" i="9"/>
  <c r="J32" i="9"/>
  <c r="L32" i="9" s="1"/>
  <c r="F32" i="9"/>
  <c r="H32" i="9" s="1"/>
  <c r="B32" i="9"/>
  <c r="D32" i="9"/>
  <c r="N31" i="9"/>
  <c r="P31" i="9" s="1"/>
  <c r="J31" i="9"/>
  <c r="L31" i="9" s="1"/>
  <c r="F31" i="9"/>
  <c r="H31" i="9" s="1"/>
  <c r="B31" i="9"/>
  <c r="D31" i="9" s="1"/>
  <c r="N30" i="9"/>
  <c r="P30" i="9" s="1"/>
  <c r="J30" i="9"/>
  <c r="L30" i="9" s="1"/>
  <c r="F30" i="9"/>
  <c r="H30" i="9" s="1"/>
  <c r="B30" i="9"/>
  <c r="D30" i="9" s="1"/>
  <c r="N29" i="9"/>
  <c r="P29" i="9" s="1"/>
  <c r="J29" i="9"/>
  <c r="L29" i="9" s="1"/>
  <c r="F29" i="9"/>
  <c r="H29" i="9"/>
  <c r="B29" i="9"/>
  <c r="D29" i="9"/>
  <c r="N28" i="9"/>
  <c r="P28" i="9"/>
  <c r="J28" i="9"/>
  <c r="L28" i="9" s="1"/>
  <c r="F28" i="9"/>
  <c r="H28" i="9" s="1"/>
  <c r="B28" i="9"/>
  <c r="D28" i="9"/>
  <c r="N27" i="9"/>
  <c r="P27" i="9" s="1"/>
  <c r="J27" i="9"/>
  <c r="L27" i="9" s="1"/>
  <c r="F27" i="9"/>
  <c r="H27" i="9" s="1"/>
  <c r="B27" i="9"/>
  <c r="D27" i="9"/>
  <c r="N26" i="9"/>
  <c r="P26" i="9" s="1"/>
  <c r="P39" i="9" s="1"/>
  <c r="P40" i="9" s="1"/>
  <c r="P43" i="9" s="1"/>
  <c r="J26" i="9"/>
  <c r="L26" i="9" s="1"/>
  <c r="L39" i="9" s="1"/>
  <c r="L40" i="9" s="1"/>
  <c r="L43" i="9" s="1"/>
  <c r="F26" i="9"/>
  <c r="H26" i="9"/>
  <c r="H39" i="9"/>
  <c r="H40" i="9" s="1"/>
  <c r="H43" i="9" s="1"/>
  <c r="B26" i="9"/>
  <c r="D26" i="9" s="1"/>
  <c r="D39" i="9" s="1"/>
  <c r="D40" i="9" s="1"/>
  <c r="D43" i="9" s="1"/>
  <c r="N15" i="9"/>
  <c r="J15" i="9"/>
  <c r="N14" i="9"/>
  <c r="J14" i="9"/>
  <c r="B14" i="9"/>
  <c r="N13" i="9"/>
  <c r="J13" i="9"/>
  <c r="B13" i="9"/>
  <c r="N12" i="9"/>
  <c r="J12" i="9"/>
  <c r="B12" i="9"/>
  <c r="N11" i="9"/>
  <c r="J11" i="9"/>
  <c r="B11" i="9"/>
  <c r="N10" i="9"/>
  <c r="J10" i="9"/>
  <c r="L10" i="9"/>
  <c r="F10" i="9"/>
  <c r="B10" i="9"/>
  <c r="N9" i="9"/>
  <c r="P9" i="9"/>
  <c r="F9" i="9"/>
  <c r="B9" i="9"/>
  <c r="N8" i="9"/>
  <c r="P8" i="9"/>
  <c r="N7" i="9"/>
  <c r="P7" i="9" s="1"/>
  <c r="J7" i="9"/>
  <c r="L7" i="9" s="1"/>
  <c r="B7" i="9"/>
  <c r="D7" i="9"/>
  <c r="N6" i="9"/>
  <c r="P6" i="9" s="1"/>
  <c r="J6" i="9"/>
  <c r="L6" i="9" s="1"/>
  <c r="B6" i="9"/>
  <c r="D6" i="9" s="1"/>
  <c r="N5" i="9"/>
  <c r="P5" i="9" s="1"/>
  <c r="J5" i="9"/>
  <c r="L5" i="9" s="1"/>
  <c r="B5" i="9"/>
  <c r="D5" i="9"/>
  <c r="N4" i="9"/>
  <c r="P4" i="9" s="1"/>
  <c r="P17" i="9" s="1"/>
  <c r="P18" i="9" s="1"/>
  <c r="P21" i="9" s="1"/>
  <c r="J4" i="9"/>
  <c r="L4" i="9" s="1"/>
  <c r="B4" i="9"/>
  <c r="D4" i="9" s="1"/>
  <c r="B5" i="12"/>
  <c r="D5" i="12" s="1"/>
  <c r="F49" i="6"/>
  <c r="H49" i="6"/>
  <c r="F50" i="6"/>
  <c r="H50" i="6" s="1"/>
  <c r="F51" i="6"/>
  <c r="H51" i="6" s="1"/>
  <c r="F52" i="6"/>
  <c r="H52" i="6"/>
  <c r="F53" i="6"/>
  <c r="H53" i="6" s="1"/>
  <c r="F54" i="6"/>
  <c r="H54" i="6" s="1"/>
  <c r="F55" i="6"/>
  <c r="H55" i="6" s="1"/>
  <c r="F56" i="6"/>
  <c r="H56" i="6" s="1"/>
  <c r="F58" i="6"/>
  <c r="H58" i="6" s="1"/>
  <c r="F60" i="6"/>
  <c r="H60" i="6" s="1"/>
  <c r="F48" i="6"/>
  <c r="H48" i="6" s="1"/>
  <c r="B54" i="6"/>
  <c r="D54" i="6" s="1"/>
  <c r="B58" i="6"/>
  <c r="D58" i="6" s="1"/>
  <c r="B56" i="6"/>
  <c r="D56" i="6" s="1"/>
  <c r="B55" i="6"/>
  <c r="D55" i="6" s="1"/>
  <c r="B52" i="6"/>
  <c r="D52" i="6"/>
  <c r="B51" i="6"/>
  <c r="D51" i="6" s="1"/>
  <c r="B50" i="6"/>
  <c r="D50" i="6" s="1"/>
  <c r="B49" i="6"/>
  <c r="D49" i="6" s="1"/>
  <c r="B48" i="6"/>
  <c r="D48" i="6" s="1"/>
  <c r="B60" i="6"/>
  <c r="D60" i="6" s="1"/>
  <c r="J57" i="6"/>
  <c r="N56" i="6"/>
  <c r="P56" i="6" s="1"/>
  <c r="J56" i="6"/>
  <c r="N55" i="6"/>
  <c r="P55" i="6" s="1"/>
  <c r="J55" i="6"/>
  <c r="N54" i="6"/>
  <c r="P54" i="6"/>
  <c r="J54" i="6"/>
  <c r="N53" i="6"/>
  <c r="P53" i="6" s="1"/>
  <c r="J53" i="6"/>
  <c r="N52" i="6"/>
  <c r="P52" i="6" s="1"/>
  <c r="J52" i="6"/>
  <c r="N51" i="6"/>
  <c r="P51" i="6" s="1"/>
  <c r="J51" i="6"/>
  <c r="N50" i="6"/>
  <c r="P50" i="6" s="1"/>
  <c r="J50" i="6"/>
  <c r="N49" i="6"/>
  <c r="P49" i="6" s="1"/>
  <c r="J49" i="6"/>
  <c r="N48" i="6"/>
  <c r="P48" i="6" s="1"/>
  <c r="P62" i="6" s="1"/>
  <c r="P63" i="6" s="1"/>
  <c r="J35" i="8"/>
  <c r="B35" i="8"/>
  <c r="N34" i="8"/>
  <c r="P34" i="8"/>
  <c r="J34" i="8"/>
  <c r="N33" i="8"/>
  <c r="P33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N15" i="8"/>
  <c r="J15" i="8"/>
  <c r="N14" i="8"/>
  <c r="J14" i="8"/>
  <c r="B14" i="8"/>
  <c r="N13" i="8"/>
  <c r="J13" i="8"/>
  <c r="B13" i="8"/>
  <c r="N12" i="8"/>
  <c r="J12" i="8"/>
  <c r="B12" i="8"/>
  <c r="N11" i="8"/>
  <c r="J11" i="8"/>
  <c r="J10" i="8"/>
  <c r="J9" i="8"/>
  <c r="L9" i="8" s="1"/>
  <c r="F9" i="8"/>
  <c r="H9" i="8" s="1"/>
  <c r="J8" i="8"/>
  <c r="L8" i="8" s="1"/>
  <c r="F8" i="8"/>
  <c r="H8" i="8" s="1"/>
  <c r="J7" i="8"/>
  <c r="L7" i="8" s="1"/>
  <c r="F7" i="8"/>
  <c r="H7" i="8" s="1"/>
  <c r="J6" i="8"/>
  <c r="L6" i="8" s="1"/>
  <c r="F6" i="8"/>
  <c r="H6" i="8" s="1"/>
  <c r="J5" i="8"/>
  <c r="L5" i="8" s="1"/>
  <c r="F5" i="8"/>
  <c r="H5" i="8" s="1"/>
  <c r="J4" i="8"/>
  <c r="L4" i="8" s="1"/>
  <c r="F4" i="8"/>
  <c r="H4" i="8" s="1"/>
  <c r="N27" i="6"/>
  <c r="P27" i="6"/>
  <c r="N28" i="6"/>
  <c r="P28" i="6"/>
  <c r="N29" i="6"/>
  <c r="P29" i="6" s="1"/>
  <c r="N30" i="6"/>
  <c r="P30" i="6" s="1"/>
  <c r="N31" i="6"/>
  <c r="P31" i="6" s="1"/>
  <c r="N32" i="6"/>
  <c r="P32" i="6" s="1"/>
  <c r="N33" i="6"/>
  <c r="P33" i="6"/>
  <c r="N34" i="6"/>
  <c r="P34" i="6" s="1"/>
  <c r="N26" i="6"/>
  <c r="P26" i="6" s="1"/>
  <c r="J27" i="6"/>
  <c r="L27" i="6" s="1"/>
  <c r="J28" i="6"/>
  <c r="L28" i="6"/>
  <c r="J29" i="6"/>
  <c r="L29" i="6" s="1"/>
  <c r="J30" i="6"/>
  <c r="L30" i="6" s="1"/>
  <c r="J31" i="6"/>
  <c r="L31" i="6" s="1"/>
  <c r="J32" i="6"/>
  <c r="L32" i="6" s="1"/>
  <c r="J33" i="6"/>
  <c r="L33" i="6" s="1"/>
  <c r="J34" i="6"/>
  <c r="L34" i="6"/>
  <c r="J35" i="6"/>
  <c r="L35" i="6"/>
  <c r="J26" i="6"/>
  <c r="L26" i="6" s="1"/>
  <c r="F27" i="6"/>
  <c r="H27" i="6" s="1"/>
  <c r="F28" i="6"/>
  <c r="H28" i="6" s="1"/>
  <c r="F29" i="6"/>
  <c r="H29" i="6" s="1"/>
  <c r="F30" i="6"/>
  <c r="H30" i="6" s="1"/>
  <c r="F31" i="6"/>
  <c r="H31" i="6" s="1"/>
  <c r="F32" i="6"/>
  <c r="H32" i="6" s="1"/>
  <c r="F33" i="6"/>
  <c r="H33" i="6" s="1"/>
  <c r="F34" i="6"/>
  <c r="H34" i="6" s="1"/>
  <c r="F36" i="6"/>
  <c r="F37" i="6"/>
  <c r="F26" i="6"/>
  <c r="H26" i="6" s="1"/>
  <c r="B27" i="6"/>
  <c r="D27" i="6" s="1"/>
  <c r="B28" i="6"/>
  <c r="D28" i="6" s="1"/>
  <c r="B29" i="6"/>
  <c r="D29" i="6" s="1"/>
  <c r="B30" i="6"/>
  <c r="D30" i="6" s="1"/>
  <c r="B31" i="6"/>
  <c r="D31" i="6" s="1"/>
  <c r="B33" i="6"/>
  <c r="D33" i="6" s="1"/>
  <c r="B34" i="6"/>
  <c r="D34" i="6" s="1"/>
  <c r="B35" i="6"/>
  <c r="D35" i="6" s="1"/>
  <c r="B26" i="6"/>
  <c r="D26" i="6" s="1"/>
  <c r="N5" i="6"/>
  <c r="P5" i="6" s="1"/>
  <c r="N6" i="6"/>
  <c r="P6" i="6" s="1"/>
  <c r="N7" i="6"/>
  <c r="P7" i="6" s="1"/>
  <c r="N8" i="6"/>
  <c r="P8" i="6" s="1"/>
  <c r="N9" i="6"/>
  <c r="P9" i="6" s="1"/>
  <c r="N11" i="6"/>
  <c r="P11" i="6" s="1"/>
  <c r="N12" i="6"/>
  <c r="P12" i="6" s="1"/>
  <c r="N13" i="6"/>
  <c r="P13" i="6" s="1"/>
  <c r="N14" i="6"/>
  <c r="P14" i="6" s="1"/>
  <c r="N4" i="6"/>
  <c r="P4" i="6"/>
  <c r="J5" i="6"/>
  <c r="L5" i="6" s="1"/>
  <c r="J6" i="6"/>
  <c r="L6" i="6"/>
  <c r="J7" i="6"/>
  <c r="L7" i="6" s="1"/>
  <c r="J8" i="6"/>
  <c r="L8" i="6" s="1"/>
  <c r="J9" i="6"/>
  <c r="L9" i="6" s="1"/>
  <c r="J11" i="6"/>
  <c r="L11" i="6" s="1"/>
  <c r="J13" i="6"/>
  <c r="L13" i="6"/>
  <c r="J15" i="6"/>
  <c r="J4" i="6"/>
  <c r="L4" i="6" s="1"/>
  <c r="E169" i="5"/>
  <c r="E175" i="5"/>
  <c r="E48" i="5"/>
  <c r="E310" i="5"/>
  <c r="E123" i="5"/>
  <c r="E181" i="5"/>
  <c r="E255" i="5"/>
  <c r="E357" i="5"/>
  <c r="E358" i="5"/>
  <c r="E128" i="5"/>
  <c r="E292" i="5"/>
  <c r="E180" i="5"/>
  <c r="E117" i="5"/>
  <c r="E116" i="5"/>
  <c r="E341" i="5"/>
  <c r="E342" i="5"/>
  <c r="E75" i="5"/>
  <c r="E395" i="5"/>
  <c r="E251" i="5"/>
  <c r="D444" i="5"/>
  <c r="D132" i="5"/>
  <c r="D233" i="5"/>
  <c r="D234" i="5"/>
  <c r="D235" i="5"/>
  <c r="D178" i="5"/>
  <c r="E227" i="5"/>
  <c r="E475" i="5"/>
  <c r="E415" i="5"/>
  <c r="D415" i="5"/>
  <c r="E420" i="5"/>
  <c r="D420" i="5"/>
  <c r="E419" i="5"/>
  <c r="D419" i="5"/>
  <c r="D418" i="5"/>
  <c r="E27" i="5"/>
  <c r="D27" i="5"/>
  <c r="E417" i="5"/>
  <c r="D332" i="5"/>
  <c r="E174" i="5"/>
  <c r="D400" i="5"/>
  <c r="E399" i="5"/>
  <c r="D399" i="5"/>
  <c r="D396" i="5"/>
  <c r="E421" i="5"/>
  <c r="E409" i="5"/>
  <c r="E410" i="5"/>
  <c r="D63" i="5"/>
  <c r="E57" i="5"/>
  <c r="E42" i="5"/>
  <c r="E363" i="5"/>
  <c r="E73" i="5"/>
  <c r="E71" i="5"/>
  <c r="E51" i="5"/>
  <c r="D51" i="5"/>
  <c r="H26" i="12"/>
  <c r="F5" i="15"/>
  <c r="H5" i="15" s="1"/>
  <c r="J5" i="15"/>
  <c r="L5" i="15" s="1"/>
  <c r="J36" i="6"/>
  <c r="J78" i="12"/>
  <c r="J37" i="9"/>
  <c r="J59" i="10"/>
  <c r="J37" i="13"/>
  <c r="J36" i="10"/>
  <c r="J79" i="12"/>
  <c r="J37" i="12"/>
  <c r="J58" i="10"/>
  <c r="J37" i="10"/>
  <c r="J36" i="13"/>
  <c r="J36" i="8"/>
  <c r="J37" i="6"/>
  <c r="J58" i="6"/>
  <c r="J60" i="6"/>
  <c r="J36" i="15"/>
  <c r="J37" i="8"/>
  <c r="L62" i="6"/>
  <c r="L63" i="6"/>
  <c r="J34" i="11"/>
  <c r="L34" i="11"/>
  <c r="B34" i="11"/>
  <c r="D34" i="11"/>
  <c r="B6" i="11"/>
  <c r="D6" i="11"/>
  <c r="J91" i="12"/>
  <c r="L91" i="12" s="1"/>
  <c r="J90" i="12"/>
  <c r="L90" i="12"/>
  <c r="J99" i="12"/>
  <c r="J89" i="12"/>
  <c r="L89" i="12" s="1"/>
  <c r="L102" i="12" s="1"/>
  <c r="L103" i="12" s="1"/>
  <c r="J37" i="15"/>
  <c r="J36" i="11"/>
  <c r="J58" i="8"/>
  <c r="J36" i="9"/>
  <c r="J36" i="12"/>
  <c r="L67" i="6"/>
  <c r="L66" i="6"/>
  <c r="J100" i="12"/>
  <c r="J58" i="12"/>
  <c r="J57" i="8"/>
  <c r="D48" i="8"/>
  <c r="L17" i="8" l="1"/>
  <c r="L18" i="8" s="1"/>
  <c r="L21" i="8" s="1"/>
  <c r="L39" i="6"/>
  <c r="L40" i="6" s="1"/>
  <c r="L44" i="6" s="1"/>
  <c r="P81" i="12"/>
  <c r="P82" i="12" s="1"/>
  <c r="P86" i="12" s="1"/>
  <c r="D52" i="8"/>
  <c r="D47" i="8"/>
  <c r="D51" i="8"/>
  <c r="P17" i="13"/>
  <c r="P18" i="13" s="1"/>
  <c r="P22" i="13" s="1"/>
  <c r="D39" i="15"/>
  <c r="D40" i="15" s="1"/>
  <c r="D43" i="15" s="1"/>
  <c r="L61" i="10"/>
  <c r="L62" i="10" s="1"/>
  <c r="J197" i="5" s="1"/>
  <c r="F5" i="11" s="1"/>
  <c r="H5" i="11" s="1"/>
  <c r="H39" i="8"/>
  <c r="H40" i="8" s="1"/>
  <c r="H43" i="8" s="1"/>
  <c r="H60" i="8"/>
  <c r="H61" i="8" s="1"/>
  <c r="H64" i="8" s="1"/>
  <c r="N53" i="8"/>
  <c r="P53" i="8" s="1"/>
  <c r="P39" i="11"/>
  <c r="P40" i="11" s="1"/>
  <c r="H39" i="12"/>
  <c r="H40" i="12" s="1"/>
  <c r="H17" i="10"/>
  <c r="H18" i="10" s="1"/>
  <c r="H39" i="15"/>
  <c r="H40" i="15" s="1"/>
  <c r="P61" i="10"/>
  <c r="P62" i="10" s="1"/>
  <c r="L106" i="12"/>
  <c r="L107" i="12"/>
  <c r="H39" i="6"/>
  <c r="H40" i="6" s="1"/>
  <c r="D39" i="12"/>
  <c r="D40" i="12" s="1"/>
  <c r="P44" i="11"/>
  <c r="P43" i="11"/>
  <c r="P39" i="8"/>
  <c r="P40" i="8" s="1"/>
  <c r="L39" i="8"/>
  <c r="L40" i="8" s="1"/>
  <c r="L43" i="8" s="1"/>
  <c r="D81" i="8"/>
  <c r="D82" i="8" s="1"/>
  <c r="D85" i="8" s="1"/>
  <c r="L60" i="12"/>
  <c r="L61" i="12" s="1"/>
  <c r="P17" i="8"/>
  <c r="P18" i="8" s="1"/>
  <c r="D60" i="11"/>
  <c r="D61" i="11" s="1"/>
  <c r="L39" i="12"/>
  <c r="L40" i="12" s="1"/>
  <c r="P60" i="12"/>
  <c r="P61" i="12" s="1"/>
  <c r="L39" i="10"/>
  <c r="L40" i="10" s="1"/>
  <c r="G290" i="5" s="1"/>
  <c r="J290" i="5" s="1"/>
  <c r="F4" i="13" s="1"/>
  <c r="H4" i="13" s="1"/>
  <c r="L60" i="11"/>
  <c r="L61" i="11" s="1"/>
  <c r="D17" i="13"/>
  <c r="D18" i="13" s="1"/>
  <c r="D21" i="13" s="1"/>
  <c r="L17" i="13"/>
  <c r="L18" i="13" s="1"/>
  <c r="L21" i="13" s="1"/>
  <c r="H17" i="8"/>
  <c r="H18" i="8" s="1"/>
  <c r="H21" i="8" s="1"/>
  <c r="D81" i="12"/>
  <c r="D82" i="12" s="1"/>
  <c r="P67" i="6"/>
  <c r="P66" i="6"/>
  <c r="H39" i="10"/>
  <c r="H40" i="10" s="1"/>
  <c r="G170" i="5" s="1"/>
  <c r="J170" i="5" s="1"/>
  <c r="P60" i="8"/>
  <c r="P17" i="10"/>
  <c r="P18" i="10" s="1"/>
  <c r="L39" i="15"/>
  <c r="L40" i="15" s="1"/>
  <c r="D39" i="10"/>
  <c r="D40" i="10" s="1"/>
  <c r="G295" i="5" s="1"/>
  <c r="J295" i="5" s="1"/>
  <c r="D60" i="12"/>
  <c r="D61" i="12" s="1"/>
  <c r="H44" i="12"/>
  <c r="H43" i="12"/>
  <c r="L17" i="10"/>
  <c r="L18" i="10" s="1"/>
  <c r="G296" i="5" s="1"/>
  <c r="J296" i="5" s="1"/>
  <c r="P39" i="12"/>
  <c r="P40" i="12" s="1"/>
  <c r="D17" i="8"/>
  <c r="D18" i="8" s="1"/>
  <c r="D39" i="8"/>
  <c r="D40" i="8" s="1"/>
  <c r="D43" i="8" s="1"/>
  <c r="H60" i="12"/>
  <c r="H61" i="12" s="1"/>
  <c r="P39" i="6"/>
  <c r="P40" i="6" s="1"/>
  <c r="H43" i="15"/>
  <c r="H44" i="15"/>
  <c r="H61" i="10"/>
  <c r="H62" i="10" s="1"/>
  <c r="J405" i="5" s="1"/>
  <c r="D17" i="10"/>
  <c r="D18" i="10" s="1"/>
  <c r="J231" i="5" s="1"/>
  <c r="D49" i="8"/>
  <c r="D60" i="8" s="1"/>
  <c r="D61" i="8" s="1"/>
  <c r="P85" i="12" l="1"/>
  <c r="L43" i="6"/>
  <c r="H65" i="8"/>
  <c r="D44" i="15"/>
  <c r="P21" i="13"/>
  <c r="P65" i="12"/>
  <c r="P64" i="12"/>
  <c r="D65" i="12"/>
  <c r="D64" i="12"/>
  <c r="P21" i="8"/>
  <c r="P19" i="8"/>
  <c r="D64" i="8"/>
  <c r="D65" i="8"/>
  <c r="J8" i="9"/>
  <c r="L8" i="9" s="1"/>
  <c r="L17" i="9" s="1"/>
  <c r="L18" i="9" s="1"/>
  <c r="L21" i="9" s="1"/>
  <c r="G231" i="5"/>
  <c r="F8" i="9"/>
  <c r="H8" i="9" s="1"/>
  <c r="H17" i="9" s="1"/>
  <c r="H18" i="9" s="1"/>
  <c r="B8" i="9"/>
  <c r="D8" i="9" s="1"/>
  <c r="D17" i="9" s="1"/>
  <c r="D18" i="9" s="1"/>
  <c r="D21" i="9" s="1"/>
  <c r="P43" i="6"/>
  <c r="P44" i="6"/>
  <c r="L43" i="12"/>
  <c r="L44" i="12"/>
  <c r="D65" i="11"/>
  <c r="D64" i="11"/>
  <c r="L65" i="12"/>
  <c r="L64" i="12"/>
  <c r="H43" i="6"/>
  <c r="H44" i="6"/>
  <c r="D85" i="12"/>
  <c r="D86" i="12"/>
  <c r="J26" i="11"/>
  <c r="L26" i="11" s="1"/>
  <c r="L39" i="11" s="1"/>
  <c r="L40" i="11" s="1"/>
  <c r="F4" i="11"/>
  <c r="H4" i="11" s="1"/>
  <c r="H17" i="11" s="1"/>
  <c r="H18" i="11" s="1"/>
  <c r="B26" i="11"/>
  <c r="D26" i="11" s="1"/>
  <c r="D39" i="11" s="1"/>
  <c r="D40" i="11" s="1"/>
  <c r="F26" i="11"/>
  <c r="H26" i="11" s="1"/>
  <c r="H39" i="11" s="1"/>
  <c r="H40" i="11" s="1"/>
  <c r="H65" i="12"/>
  <c r="H64" i="12"/>
  <c r="D19" i="8"/>
  <c r="D21" i="8"/>
  <c r="G281" i="5"/>
  <c r="J281" i="5" s="1"/>
  <c r="L65" i="11"/>
  <c r="L64" i="11"/>
  <c r="P44" i="12"/>
  <c r="P43" i="12"/>
  <c r="B32" i="6"/>
  <c r="D32" i="6" s="1"/>
  <c r="D39" i="6" s="1"/>
  <c r="D40" i="6" s="1"/>
  <c r="B13" i="6"/>
  <c r="D13" i="6" s="1"/>
  <c r="D17" i="6" s="1"/>
  <c r="D18" i="6" s="1"/>
  <c r="B57" i="6"/>
  <c r="D57" i="6" s="1"/>
  <c r="J10" i="6"/>
  <c r="L10" i="6" s="1"/>
  <c r="L17" i="6" s="1"/>
  <c r="L18" i="6" s="1"/>
  <c r="N10" i="6"/>
  <c r="P10" i="6" s="1"/>
  <c r="P17" i="6" s="1"/>
  <c r="P18" i="6" s="1"/>
  <c r="F57" i="6"/>
  <c r="H57" i="6" s="1"/>
  <c r="F13" i="6"/>
  <c r="H13" i="6" s="1"/>
  <c r="H17" i="6" s="1"/>
  <c r="H18" i="6" s="1"/>
  <c r="L44" i="15"/>
  <c r="L43" i="15"/>
  <c r="G129" i="5"/>
  <c r="J129" i="5" s="1"/>
  <c r="G130" i="5"/>
  <c r="J130" i="5" s="1"/>
  <c r="P44" i="8"/>
  <c r="P43" i="8"/>
  <c r="D43" i="12"/>
  <c r="D44" i="12"/>
  <c r="P61" i="8"/>
  <c r="P59" i="8"/>
  <c r="Q59" i="8" s="1"/>
  <c r="B4" i="11"/>
  <c r="D4" i="11" s="1"/>
  <c r="N4" i="11"/>
  <c r="P4" i="11" s="1"/>
  <c r="P17" i="11" s="1"/>
  <c r="P18" i="11" s="1"/>
  <c r="J4" i="11"/>
  <c r="L4" i="11" s="1"/>
  <c r="H44" i="11" l="1"/>
  <c r="H43" i="11"/>
  <c r="D43" i="11"/>
  <c r="D44" i="11"/>
  <c r="H22" i="11"/>
  <c r="H21" i="11"/>
  <c r="P64" i="8"/>
  <c r="P65" i="8"/>
  <c r="B59" i="6"/>
  <c r="D59" i="6" s="1"/>
  <c r="J5" i="11"/>
  <c r="L5" i="11" s="1"/>
  <c r="L17" i="11" s="1"/>
  <c r="L18" i="11" s="1"/>
  <c r="F59" i="6"/>
  <c r="H59" i="6" s="1"/>
  <c r="H62" i="6" s="1"/>
  <c r="H63" i="6" s="1"/>
  <c r="N55" i="11"/>
  <c r="P55" i="11" s="1"/>
  <c r="P60" i="11" s="1"/>
  <c r="P61" i="11" s="1"/>
  <c r="F53" i="11"/>
  <c r="H53" i="11" s="1"/>
  <c r="H60" i="11" s="1"/>
  <c r="H61" i="11" s="1"/>
  <c r="B5" i="11"/>
  <c r="D5" i="11" s="1"/>
  <c r="D17" i="11" s="1"/>
  <c r="D18" i="11" s="1"/>
  <c r="D21" i="11" s="1"/>
  <c r="N26" i="10"/>
  <c r="P26" i="10" s="1"/>
  <c r="P39" i="10" s="1"/>
  <c r="P40" i="10" s="1"/>
  <c r="G131" i="5" s="1"/>
  <c r="J131" i="5" s="1"/>
  <c r="F5" i="13" s="1"/>
  <c r="H5" i="13" s="1"/>
  <c r="H17" i="13" s="1"/>
  <c r="H18" i="13" s="1"/>
  <c r="H21" i="13" s="1"/>
  <c r="P21" i="11"/>
  <c r="P22" i="11"/>
  <c r="L44" i="11"/>
  <c r="L43" i="11"/>
  <c r="P22" i="6"/>
  <c r="P21" i="6"/>
  <c r="D44" i="6"/>
  <c r="D43" i="6"/>
  <c r="H21" i="6"/>
  <c r="H22" i="6"/>
  <c r="L21" i="6"/>
  <c r="L22" i="6"/>
  <c r="D22" i="6"/>
  <c r="D21" i="6"/>
  <c r="H21" i="9"/>
  <c r="G297" i="5"/>
  <c r="J297" i="5" s="1"/>
  <c r="D62" i="6"/>
  <c r="D63" i="6" s="1"/>
  <c r="N4" i="15"/>
  <c r="P4" i="15" s="1"/>
  <c r="P17" i="15" s="1"/>
  <c r="P18" i="15" s="1"/>
  <c r="J68" i="12"/>
  <c r="L68" i="12" s="1"/>
  <c r="L81" i="12" s="1"/>
  <c r="L82" i="12" s="1"/>
  <c r="F68" i="12"/>
  <c r="H68" i="12" s="1"/>
  <c r="H81" i="12" s="1"/>
  <c r="H82" i="12" s="1"/>
  <c r="H67" i="6" l="1"/>
  <c r="H66" i="6"/>
  <c r="L22" i="11"/>
  <c r="L21" i="11"/>
  <c r="N37" i="12"/>
  <c r="P65" i="11"/>
  <c r="P64" i="11"/>
  <c r="P21" i="15"/>
  <c r="P22" i="15"/>
  <c r="D67" i="6"/>
  <c r="D66" i="6"/>
  <c r="H85" i="12"/>
  <c r="H86" i="12"/>
  <c r="N57" i="12"/>
  <c r="N37" i="6"/>
  <c r="N36" i="13"/>
  <c r="F4" i="12"/>
  <c r="H4" i="12" s="1"/>
  <c r="H17" i="12" s="1"/>
  <c r="H18" i="12" s="1"/>
  <c r="B4" i="15"/>
  <c r="D4" i="15" s="1"/>
  <c r="D17" i="15" s="1"/>
  <c r="D18" i="15" s="1"/>
  <c r="J4" i="15"/>
  <c r="L4" i="15" s="1"/>
  <c r="L17" i="15" s="1"/>
  <c r="L18" i="15" s="1"/>
  <c r="B4" i="12"/>
  <c r="D4" i="12" s="1"/>
  <c r="D17" i="12" s="1"/>
  <c r="D18" i="12" s="1"/>
  <c r="N4" i="12"/>
  <c r="P4" i="12" s="1"/>
  <c r="P17" i="12" s="1"/>
  <c r="P18" i="12" s="1"/>
  <c r="P21" i="12" s="1"/>
  <c r="B89" i="12"/>
  <c r="D89" i="12" s="1"/>
  <c r="D102" i="12" s="1"/>
  <c r="D103" i="12" s="1"/>
  <c r="J4" i="12"/>
  <c r="L4" i="12" s="1"/>
  <c r="L17" i="12" s="1"/>
  <c r="L18" i="12" s="1"/>
  <c r="N26" i="15"/>
  <c r="P26" i="15" s="1"/>
  <c r="P39" i="15" s="1"/>
  <c r="P40" i="15" s="1"/>
  <c r="P43" i="15" s="1"/>
  <c r="F4" i="15"/>
  <c r="H4" i="15" s="1"/>
  <c r="H17" i="15" s="1"/>
  <c r="H18" i="15" s="1"/>
  <c r="F89" i="12"/>
  <c r="H89" i="12" s="1"/>
  <c r="H102" i="12" s="1"/>
  <c r="H103" i="12" s="1"/>
  <c r="N37" i="8"/>
  <c r="N37" i="9"/>
  <c r="N36" i="12"/>
  <c r="N37" i="15"/>
  <c r="N37" i="11"/>
  <c r="N59" i="10"/>
  <c r="N58" i="6"/>
  <c r="N37" i="13"/>
  <c r="N58" i="12"/>
  <c r="N79" i="12"/>
  <c r="N36" i="15"/>
  <c r="L86" i="12"/>
  <c r="L85" i="12"/>
  <c r="N60" i="6"/>
  <c r="H65" i="11"/>
  <c r="H64" i="11"/>
  <c r="N36" i="6"/>
  <c r="N58" i="10"/>
  <c r="N57" i="8"/>
  <c r="N58" i="8"/>
  <c r="N36" i="11"/>
  <c r="N78" i="12"/>
  <c r="N36" i="9"/>
  <c r="N36" i="8"/>
  <c r="D21" i="12" l="1"/>
  <c r="D22" i="12"/>
  <c r="D107" i="12"/>
  <c r="D106" i="12"/>
  <c r="L22" i="15"/>
  <c r="L21" i="15"/>
  <c r="L22" i="12"/>
  <c r="L21" i="12"/>
  <c r="H107" i="12"/>
  <c r="H106" i="12"/>
  <c r="D21" i="15"/>
  <c r="D22" i="15"/>
  <c r="H21" i="15"/>
  <c r="H22" i="15"/>
  <c r="H22" i="12"/>
  <c r="H2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ALEXIS</author>
    <author>Grégory Jeanneau</author>
    <author>Alexis MONNERET</author>
  </authors>
  <commentList>
    <comment ref="E27" authorId="0" shapeId="0" xr:uid="{C716C3FB-2F01-1444-AB99-DBC03821BBE9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50U 6,58</t>
        </r>
      </text>
    </comment>
    <comment ref="F39" authorId="1" shapeId="0" xr:uid="{37254EAD-D496-4960-BF9F-6CD563D7DF55}">
      <text>
        <r>
          <rPr>
            <sz val="11"/>
            <color theme="1"/>
            <rFont val="Calibri"/>
            <family val="2"/>
            <scheme val="minor"/>
          </rPr>
          <t>Atlantic Ovo</t>
        </r>
      </text>
    </comment>
    <comment ref="E42" authorId="0" shapeId="0" xr:uid="{67963D8D-7E73-2448-B5DF-D181486570F4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100 /2</t>
        </r>
      </text>
    </comment>
    <comment ref="E50" authorId="0" shapeId="0" xr:uid="{50C1E5CE-FF7E-B947-98F2-9B15847B3F11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250g *4</t>
        </r>
      </text>
    </comment>
    <comment ref="D56" authorId="0" shapeId="0" xr:uid="{4FF8DB71-3D67-4832-8488-AA8B09B0DE45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16,50 les 1000</t>
        </r>
      </text>
    </comment>
    <comment ref="D76" authorId="2" shapeId="0" xr:uid="{839F523F-9F10-41D2-AAC3-9A45C54F0741}">
      <text>
        <r>
          <rPr>
            <sz val="11"/>
            <color theme="1"/>
            <rFont val="Calibri"/>
            <family val="2"/>
            <scheme val="minor"/>
          </rPr>
          <t>Alexis MONNERET:
88 tranches</t>
        </r>
      </text>
    </comment>
    <comment ref="F76" authorId="2" shapeId="0" xr:uid="{626CFE37-7E1F-4A6F-8E55-81584E984C61}">
      <text>
        <r>
          <rPr>
            <sz val="11"/>
            <color theme="1"/>
            <rFont val="Calibri"/>
            <family val="2"/>
            <scheme val="minor"/>
          </rPr>
          <t>Alexis MONNERET:
84 tranches</t>
        </r>
      </text>
    </comment>
    <comment ref="D78" authorId="1" shapeId="0" xr:uid="{818BD0F6-CF56-46EB-A710-9B52CD57DA76}">
      <text>
        <r>
          <rPr>
            <sz val="11"/>
            <color theme="1"/>
            <rFont val="Calibri"/>
            <family val="2"/>
            <scheme val="minor"/>
          </rPr>
          <t>Grégory Jeanneau:
1.3kg pour 16.50</t>
        </r>
      </text>
    </comment>
    <comment ref="E78" authorId="1" shapeId="0" xr:uid="{D5EECC34-1E2D-4C94-B428-755253B1777F}">
      <text>
        <r>
          <rPr>
            <sz val="11"/>
            <color theme="1"/>
            <rFont val="Calibri"/>
            <family val="2"/>
            <scheme val="minor"/>
          </rPr>
          <t>Grégory Jeanneau:
1.3kg pour 19.14€</t>
        </r>
      </text>
    </comment>
    <comment ref="F78" authorId="1" shapeId="0" xr:uid="{8270B73C-A201-4C98-91BE-1D39BA07EC2A}">
      <text>
        <r>
          <rPr>
            <sz val="11"/>
            <color theme="1"/>
            <rFont val="Calibri"/>
            <family val="2"/>
            <scheme val="minor"/>
          </rPr>
          <t>1.20kg pour 17.95</t>
        </r>
      </text>
    </comment>
    <comment ref="E82" authorId="0" shapeId="0" xr:uid="{4FA5CC49-2C8F-8C41-943A-3A545AC4E1FC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20 U</t>
        </r>
      </text>
    </comment>
    <comment ref="E113" authorId="0" shapeId="0" xr:uid="{BA7B6E8D-B023-AA44-B42C-B9423A9ADB01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CHOCOVIC</t>
        </r>
      </text>
    </comment>
    <comment ref="E114" authorId="0" shapeId="0" xr:uid="{CFE2585A-EDD0-3146-B715-CE8F5575A497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CHOCOVIC</t>
        </r>
      </text>
    </comment>
    <comment ref="H115" authorId="0" shapeId="0" xr:uid="{CF40E057-9166-40CD-BE25-840F60ADF961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Quantité 100</t>
        </r>
      </text>
    </comment>
    <comment ref="E116" authorId="0" shapeId="0" xr:uid="{0E8356F2-4298-1D4C-8603-24519DC4DE84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CHOCOVIC</t>
        </r>
      </text>
    </comment>
    <comment ref="E117" authorId="0" shapeId="0" xr:uid="{F8356B5B-11E4-1647-9BED-91D7E85A0514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BARRY</t>
        </r>
      </text>
    </comment>
    <comment ref="E136" authorId="0" shapeId="0" xr:uid="{7C18ED94-F241-4CBE-B9A7-CC5C91BBAEFF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70 grammes</t>
        </r>
      </text>
    </comment>
    <comment ref="E150" authorId="0" shapeId="0" xr:uid="{4012CF05-FC2A-2543-9788-4025ED62F6D9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1kg 17,19</t>
        </r>
      </text>
    </comment>
    <comment ref="F152" authorId="0" shapeId="0" xr:uid="{BD0AA31B-D3A2-764A-B2BA-F6BF98C4FBB5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1kg</t>
        </r>
      </text>
    </comment>
    <comment ref="D155" authorId="1" shapeId="0" xr:uid="{579121AC-02F6-402C-B887-A7FACDB39D59}">
      <text>
        <r>
          <rPr>
            <sz val="11"/>
            <color theme="1"/>
            <rFont val="Calibri"/>
            <family val="2"/>
            <scheme val="minor"/>
          </rPr>
          <t xml:space="preserve">Grégory Jeanneau:
80 tranches
</t>
        </r>
      </text>
    </comment>
    <comment ref="F155" authorId="0" shapeId="0" xr:uid="{75DDEE7E-A155-2843-8D22-701EE6258D34}">
      <text>
        <r>
          <rPr>
            <sz val="11"/>
            <color theme="1"/>
            <rFont val="Calibri"/>
            <family val="2"/>
            <scheme val="minor"/>
          </rPr>
          <t>ALEXIS:
68 tranches</t>
        </r>
      </text>
    </comment>
    <comment ref="G159" authorId="0" shapeId="0" xr:uid="{3B20B90A-922A-4F82-9341-AC093EB6E37F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Supergroup</t>
        </r>
      </text>
    </comment>
    <comment ref="G160" authorId="0" shapeId="0" xr:uid="{0D616CCE-A6D9-43DF-9A65-0546BBEE8CB5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Supergroup</t>
        </r>
      </text>
    </comment>
    <comment ref="E169" authorId="0" shapeId="0" xr:uid="{36092999-FE9B-3342-83E3-E67EEDE856F5}">
      <text>
        <r>
          <rPr>
            <b/>
            <sz val="9"/>
            <color indexed="81"/>
            <rFont val="Tahoma"/>
            <family val="2"/>
          </rPr>
          <t>Vendu au kilo</t>
        </r>
      </text>
    </comment>
    <comment ref="E175" authorId="0" shapeId="0" xr:uid="{6D5E88D5-072C-8547-A13A-B5FAF9EFB9A4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10kg / U</t>
        </r>
      </text>
    </comment>
    <comment ref="H203" authorId="0" shapeId="0" xr:uid="{450668C3-F224-4704-8A1E-953B7373DA0C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Quantité 100</t>
        </r>
      </text>
    </comment>
    <comment ref="H204" authorId="0" shapeId="0" xr:uid="{7ECCF1C4-F052-4701-A308-B7A9367DA6A0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Quantité 100</t>
        </r>
      </text>
    </comment>
    <comment ref="G217" authorId="0" shapeId="0" xr:uid="{640BE0CE-8930-44AE-9DB6-DD8693F28046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Supergroup</t>
        </r>
      </text>
    </comment>
    <comment ref="F218" authorId="0" shapeId="0" xr:uid="{E68CF5C2-CB3A-461D-A494-56C16C34E3FC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8,14 kilo</t>
        </r>
      </text>
    </comment>
    <comment ref="D239" authorId="2" shapeId="0" xr:uid="{4A7ED203-BF55-4E84-83DA-FCE36E3C4E75}">
      <text>
        <r>
          <rPr>
            <sz val="11"/>
            <color theme="1"/>
            <rFont val="Calibri"/>
            <family val="2"/>
            <scheme val="minor"/>
          </rPr>
          <t>Alexis MONNERET:
Avec 10% de beurre</t>
        </r>
      </text>
    </comment>
    <comment ref="E239" authorId="2" shapeId="0" xr:uid="{83CD5579-0125-4EAA-BA3D-4F9D7C932ADD}">
      <text>
        <r>
          <rPr>
            <sz val="11"/>
            <color theme="1"/>
            <rFont val="Calibri"/>
            <family val="2"/>
            <scheme val="minor"/>
          </rPr>
          <t>Alexis MONNERET:
Sans beurre</t>
        </r>
      </text>
    </comment>
    <comment ref="F239" authorId="1" shapeId="0" xr:uid="{4F3209E2-386D-4CE0-92B7-05778A6818D2}">
      <text>
        <r>
          <rPr>
            <sz val="11"/>
            <color theme="1"/>
            <rFont val="Calibri"/>
            <family val="2"/>
            <scheme val="minor"/>
          </rPr>
          <t>Grégory Jeanneau:
115355 Code FF Connect</t>
        </r>
      </text>
    </comment>
    <comment ref="F253" authorId="0" shapeId="0" xr:uid="{04F6BF45-F523-422C-84EC-A742756E53C8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11,50€ en frais</t>
        </r>
      </text>
    </comment>
    <comment ref="E256" authorId="0" shapeId="0" xr:uid="{6B1DE806-6FD3-414B-9575-8CB88FAFD124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13kg</t>
        </r>
      </text>
    </comment>
    <comment ref="E270" authorId="0" shapeId="0" xr:uid="{3F05964B-E96A-9142-8DB0-14E0766DDFB6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1kg 7,71</t>
        </r>
      </text>
    </comment>
    <comment ref="E280" authorId="0" shapeId="0" xr:uid="{1F4EB32F-A311-704A-B579-87AFAFCA1866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2kg 8,84le kilo</t>
        </r>
      </text>
    </comment>
    <comment ref="E292" authorId="0" shapeId="0" xr:uid="{3C69368A-CDCE-F44B-BE37-06572C145619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10,5 le kilo 1,6kilo</t>
        </r>
      </text>
    </comment>
    <comment ref="E294" authorId="0" shapeId="0" xr:uid="{2A960796-95E8-7146-9B7D-9053466D09E7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5kg 5,91 le kilo</t>
        </r>
      </text>
    </comment>
    <comment ref="G301" authorId="0" shapeId="0" xr:uid="{456D2970-D174-44A9-A30F-60CDCD5E573F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Supergroup</t>
        </r>
      </text>
    </comment>
    <comment ref="E339" authorId="0" shapeId="0" xr:uid="{E781D88B-B0A3-764E-9EFA-D3BD84EC37AC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surg</t>
        </r>
      </text>
    </comment>
    <comment ref="E347" authorId="0" shapeId="0" xr:uid="{6561667B-9FAF-5E40-934C-90B51D56B7B4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13,42 les 13kG</t>
        </r>
      </text>
    </comment>
    <comment ref="E364" authorId="0" shapeId="0" xr:uid="{D90B45DD-6115-BE4B-B93E-D3F1F36AED83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12,5kg 6,02 le kilo</t>
        </r>
      </text>
    </comment>
    <comment ref="G366" authorId="0" shapeId="0" xr:uid="{A231F0AE-0C2B-42E5-A8ED-D7BD67D3CFE7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Supergroup</t>
        </r>
      </text>
    </comment>
    <comment ref="E390" authorId="0" shapeId="0" xr:uid="{C7978744-3568-3A47-B529-7B4F7E46E7F9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5l 3,15 le litre</t>
        </r>
      </text>
    </comment>
    <comment ref="E394" authorId="0" shapeId="0" xr:uid="{C63E4364-FDFB-6C49-952F-52BFC50AAD9D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Pour 650g = 9,49
Paquet de 1,1kG - 14,6€</t>
        </r>
      </text>
    </comment>
    <comment ref="E395" authorId="0" shapeId="0" xr:uid="{B2DA1B78-0520-5049-9532-1F10CCB2A840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1kg</t>
        </r>
      </text>
    </comment>
    <comment ref="F395" authorId="0" shapeId="0" xr:uid="{68DD0171-14BE-4094-80C2-6604E73D8E1D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12,90 en frais
5,60 en complet en 500g 11,20 le kilo</t>
        </r>
      </text>
    </comment>
    <comment ref="F401" authorId="0" shapeId="0" xr:uid="{AE57CBA8-7792-7B41-BD0B-560204255E88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250g</t>
        </r>
      </text>
    </comment>
    <comment ref="H411" authorId="0" shapeId="0" xr:uid="{52DD1C48-1EE3-4AD8-9507-39AC160A5CD2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8 euros les 250</t>
        </r>
      </text>
    </comment>
    <comment ref="H412" authorId="0" shapeId="0" xr:uid="{3BA47C17-6415-491A-8F88-633D761654D7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7,25 les 250</t>
        </r>
      </text>
    </comment>
    <comment ref="H414" authorId="0" shapeId="0" xr:uid="{8B2DE7A1-DF60-41A1-BA60-FE420C580541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5,65 les 250</t>
        </r>
      </text>
    </comment>
    <comment ref="E421" authorId="0" shapeId="0" xr:uid="{DB775D45-957B-E942-ACB8-6CBD8B992DC7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2500 unités 117,83</t>
        </r>
      </text>
    </comment>
    <comment ref="E438" authorId="0" shapeId="0" xr:uid="{0C17C568-8B32-9844-836C-A7AE9E27F8BD}">
      <text>
        <r>
          <rPr>
            <sz val="11"/>
            <color theme="1"/>
            <rFont val="Calibri"/>
            <family val="2"/>
            <scheme val="minor"/>
          </rPr>
          <t>ALEXIS:
150U 4.994</t>
        </r>
      </text>
    </comment>
    <comment ref="F438" authorId="0" shapeId="0" xr:uid="{6791EE44-15F9-48F6-8B9C-273558DAB2D5}">
      <text>
        <r>
          <rPr>
            <b/>
            <sz val="9"/>
            <color indexed="81"/>
            <rFont val="Tahoma"/>
            <family val="2"/>
          </rPr>
          <t>ALEXIS:</t>
        </r>
        <r>
          <rPr>
            <sz val="9"/>
            <color indexed="81"/>
            <rFont val="Tahoma"/>
            <family val="2"/>
          </rPr>
          <t xml:space="preserve">
Colis de 500</t>
        </r>
      </text>
    </comment>
  </commentList>
</comments>
</file>

<file path=xl/sharedStrings.xml><?xml version="1.0" encoding="utf-8"?>
<sst xmlns="http://schemas.openxmlformats.org/spreadsheetml/2006/main" count="3584" uniqueCount="1081">
  <si>
    <t>Marge</t>
  </si>
  <si>
    <t>Motte</t>
  </si>
  <si>
    <t>Tourage</t>
  </si>
  <si>
    <t>Fuseau</t>
  </si>
  <si>
    <t>Back Europ</t>
  </si>
  <si>
    <t>Richard</t>
  </si>
  <si>
    <t>Ref interne</t>
  </si>
  <si>
    <t>Produits</t>
  </si>
  <si>
    <t>FRU15</t>
  </si>
  <si>
    <t>Abricot 1/2 pelé sirop 5/1</t>
  </si>
  <si>
    <t>FRU16</t>
  </si>
  <si>
    <t>Abricot Cube 5/5mms 4kg</t>
  </si>
  <si>
    <t>FRU14</t>
  </si>
  <si>
    <t>Abricot Sirop 3/1</t>
  </si>
  <si>
    <t>FRU13</t>
  </si>
  <si>
    <t>Abricot sirop 5/1</t>
  </si>
  <si>
    <t>PATISS37</t>
  </si>
  <si>
    <t>Acide citrique poudre L.François 1kG</t>
  </si>
  <si>
    <t>DIV082</t>
  </si>
  <si>
    <t>Agent Démoulage Aerosol 500mL</t>
  </si>
  <si>
    <t>CHA18</t>
  </si>
  <si>
    <t>Aiguillette poulet panée 1kG</t>
  </si>
  <si>
    <t>CHA09</t>
  </si>
  <si>
    <t>Aiguillettes P.Pané CORNFLAKES 1kG</t>
  </si>
  <si>
    <t>SNA19</t>
  </si>
  <si>
    <t>Ail surgelé 4kg</t>
  </si>
  <si>
    <t>FRO17</t>
  </si>
  <si>
    <t>Ail/fine herbe 500g</t>
  </si>
  <si>
    <t>PATISS14</t>
  </si>
  <si>
    <t>Amande entière 1kg</t>
  </si>
  <si>
    <t>PATISS12</t>
  </si>
  <si>
    <t>Amande hachée 1kG</t>
  </si>
  <si>
    <t>PATISS13</t>
  </si>
  <si>
    <t>Amande hachée 5kG</t>
  </si>
  <si>
    <t>FRU03</t>
  </si>
  <si>
    <t>Amande poudre blanche 10kg</t>
  </si>
  <si>
    <t>Amande poudre grise 10kg</t>
  </si>
  <si>
    <t>PATISS11</t>
  </si>
  <si>
    <t>Amandes effilée 5kG</t>
  </si>
  <si>
    <t>FRU17</t>
  </si>
  <si>
    <t>Amandes emondées 1kG</t>
  </si>
  <si>
    <t>PATISS15</t>
  </si>
  <si>
    <t>Amandes poudre grise</t>
  </si>
  <si>
    <t>FAR02</t>
  </si>
  <si>
    <t>Améliorant Ibis Violet 10kg</t>
  </si>
  <si>
    <t>PATISS28</t>
  </si>
  <si>
    <t>Amidon Mais Seau 5kG</t>
  </si>
  <si>
    <t>FRU19</t>
  </si>
  <si>
    <t>Ananas Morceaux cube 1kG</t>
  </si>
  <si>
    <t>PATISS73</t>
  </si>
  <si>
    <t>Arome Café Brésilien 1L SEBALSE</t>
  </si>
  <si>
    <t>Arôme Chocolat</t>
  </si>
  <si>
    <t>PATISS74</t>
  </si>
  <si>
    <t>Arome Vanille Boulpat 1L SEBALSE</t>
  </si>
  <si>
    <t>DIV092</t>
  </si>
  <si>
    <t>Assiette Sav ronde noire 88mns</t>
  </si>
  <si>
    <t>CHA10</t>
  </si>
  <si>
    <t>Bacon tranche 1kG</t>
  </si>
  <si>
    <t>BOISS36</t>
  </si>
  <si>
    <t>Badoit 33cL</t>
  </si>
  <si>
    <t>LEG006</t>
  </si>
  <si>
    <t>Banane</t>
  </si>
  <si>
    <t>PATISS22</t>
  </si>
  <si>
    <t>Bâton chocolat 36cm 5kG</t>
  </si>
  <si>
    <t>CREM19</t>
  </si>
  <si>
    <t>Beurre 1/2 SEL VROUGE 80% 500g</t>
  </si>
  <si>
    <t>CREM14</t>
  </si>
  <si>
    <t>Beurre 82% Motte 10kG</t>
  </si>
  <si>
    <t>CREM15</t>
  </si>
  <si>
    <t>Beurre 82% Motte 25kG</t>
  </si>
  <si>
    <t>CREM16</t>
  </si>
  <si>
    <t>Beurre Demi Sel 1kG</t>
  </si>
  <si>
    <t>CREM17</t>
  </si>
  <si>
    <t>Beurre Tourage 10kG</t>
  </si>
  <si>
    <t>BOISS32</t>
  </si>
  <si>
    <t>Bière Heineken 33cL</t>
  </si>
  <si>
    <t>FRU25</t>
  </si>
  <si>
    <t>Bigarreaux Sirop 4/4</t>
  </si>
  <si>
    <t>OEU02</t>
  </si>
  <si>
    <t>Blanc Œuf Liquide 1kG</t>
  </si>
  <si>
    <t>FRO05</t>
  </si>
  <si>
    <t>Bleu cube 1,3kg</t>
  </si>
  <si>
    <t>DIV087</t>
  </si>
  <si>
    <t>Bobine Papier 450 feuilles</t>
  </si>
  <si>
    <t>DIV044</t>
  </si>
  <si>
    <t>Boîte Burger</t>
  </si>
  <si>
    <t>Bougies diverses</t>
  </si>
  <si>
    <t>FRO07</t>
  </si>
  <si>
    <t>Brie kG</t>
  </si>
  <si>
    <t>80 paquets par mois</t>
  </si>
  <si>
    <t>PATISS80</t>
  </si>
  <si>
    <t>Brisure de daim</t>
  </si>
  <si>
    <t>Brisure M&amp;M's</t>
  </si>
  <si>
    <t>PATISS66</t>
  </si>
  <si>
    <t>Cacahuète grilléees non salé 1kg</t>
  </si>
  <si>
    <t>PATISS71</t>
  </si>
  <si>
    <t>Cacao Poudre 3kg</t>
  </si>
  <si>
    <t>DIV033</t>
  </si>
  <si>
    <t>Café Trablit bouteille 1L</t>
  </si>
  <si>
    <t>DIV032</t>
  </si>
  <si>
    <t>Café moulu Tradition 1kG</t>
  </si>
  <si>
    <t>DIV020</t>
  </si>
  <si>
    <t>Caiss calypso fond brun</t>
  </si>
  <si>
    <t>DIV043</t>
  </si>
  <si>
    <t>Cagette carton</t>
  </si>
  <si>
    <t>Caissette Calypso Fond Brun 88</t>
  </si>
  <si>
    <t>DIV021</t>
  </si>
  <si>
    <t>Caiss calypso fond noir</t>
  </si>
  <si>
    <t>DIV042</t>
  </si>
  <si>
    <t>Caiss Fond tarte 1553 D.190*30</t>
  </si>
  <si>
    <t>Caissette Ronde 1201F70</t>
  </si>
  <si>
    <t>DIV045</t>
  </si>
  <si>
    <t>Caissette papier Archeduc</t>
  </si>
  <si>
    <t>DIV022</t>
  </si>
  <si>
    <t>Caissette pâtissière blanche 14</t>
  </si>
  <si>
    <t>DIV023</t>
  </si>
  <si>
    <t>Caissette pâtissière blanche 16</t>
  </si>
  <si>
    <t>DIV024</t>
  </si>
  <si>
    <t>Caissette pâtissière blanche 18</t>
  </si>
  <si>
    <t>DIV025</t>
  </si>
  <si>
    <t>Caissette pâtissière blanche 20</t>
  </si>
  <si>
    <t>Caissette savarin baba</t>
  </si>
  <si>
    <t>DIV061</t>
  </si>
  <si>
    <t>Caissette Tulipcup marron 150/50</t>
  </si>
  <si>
    <t>Camembert</t>
  </si>
  <si>
    <t>Capre capucine au vinaigre</t>
  </si>
  <si>
    <t>BOISS33</t>
  </si>
  <si>
    <t>Capri-Sul multi vitaminé 20cL</t>
  </si>
  <si>
    <t>DIV034</t>
  </si>
  <si>
    <t>Cartouche Gaz 360mL</t>
  </si>
  <si>
    <t>LEG017</t>
  </si>
  <si>
    <t>Carotte sac</t>
  </si>
  <si>
    <t>DIV029</t>
  </si>
  <si>
    <t>Carré Noir / Or 16x16</t>
  </si>
  <si>
    <t>DIV030</t>
  </si>
  <si>
    <t>Carré Noir / Or 20x20</t>
  </si>
  <si>
    <t>DIV026</t>
  </si>
  <si>
    <t>Carré rainé 13cm</t>
  </si>
  <si>
    <t>DIV027</t>
  </si>
  <si>
    <t>Carré rainé 15cm</t>
  </si>
  <si>
    <t>DIV028</t>
  </si>
  <si>
    <t>Carré rainé 17cm</t>
  </si>
  <si>
    <t>PATISS65</t>
  </si>
  <si>
    <t>Cerneaux invalides arlequins 10kg</t>
  </si>
  <si>
    <t>CHA25</t>
  </si>
  <si>
    <t>Champignon Hotel 5/1 BROVER</t>
  </si>
  <si>
    <t>FRO06</t>
  </si>
  <si>
    <t>Cheddar (84 tranches)</t>
  </si>
  <si>
    <t>20 paq. / mois</t>
  </si>
  <si>
    <t>Cheddar rouge</t>
  </si>
  <si>
    <t>FRO13</t>
  </si>
  <si>
    <t>Chèvre Tranche 42mm 1,3kG</t>
  </si>
  <si>
    <t>PATISS36</t>
  </si>
  <si>
    <t>Chocopat seau 5kg</t>
  </si>
  <si>
    <t>FRO14</t>
  </si>
  <si>
    <t>Chèvre Tranche 60mm 1,1kG</t>
  </si>
  <si>
    <t>FRO15</t>
  </si>
  <si>
    <t>Chèvre Tranche 78mm 0,5kg</t>
  </si>
  <si>
    <t>SNA08</t>
  </si>
  <si>
    <t>Chips nature</t>
  </si>
  <si>
    <t>CHA20</t>
  </si>
  <si>
    <t>Chorizo grande tranches</t>
  </si>
  <si>
    <t>CHA19</t>
  </si>
  <si>
    <t>Chorizo Lanières 500g</t>
  </si>
  <si>
    <t>CHA33</t>
  </si>
  <si>
    <t>Chute Saumon fumé Sauvage LABEYRIE 1kG</t>
  </si>
  <si>
    <t>LEG016</t>
  </si>
  <si>
    <t>Chou rouge</t>
  </si>
  <si>
    <t>Ciboulette 1kg</t>
  </si>
  <si>
    <t>FRU29</t>
  </si>
  <si>
    <t>Citron presse 10 litres</t>
  </si>
  <si>
    <t>LEG011</t>
  </si>
  <si>
    <t>Citron jaune</t>
  </si>
  <si>
    <t>BOISS19</t>
  </si>
  <si>
    <t>Coca Cola 1,25l</t>
  </si>
  <si>
    <t>LEG012</t>
  </si>
  <si>
    <t>Citron vert</t>
  </si>
  <si>
    <t>LEG009</t>
  </si>
  <si>
    <t>Clementine</t>
  </si>
  <si>
    <t>BOISS20</t>
  </si>
  <si>
    <t>Coca Cola 0% 33cl</t>
  </si>
  <si>
    <t>BOISS17</t>
  </si>
  <si>
    <t>Coca Cola 33cL</t>
  </si>
  <si>
    <t>BOISS18</t>
  </si>
  <si>
    <t>Coca Cola 50cL</t>
  </si>
  <si>
    <t>FRU20</t>
  </si>
  <si>
    <t>Cocktail 6 Fruits Rouges</t>
  </si>
  <si>
    <t>BOISS21</t>
  </si>
  <si>
    <t>Coca Cola Cherry 33cl</t>
  </si>
  <si>
    <t>Colorant Intense Jaune</t>
  </si>
  <si>
    <t>DIV097</t>
  </si>
  <si>
    <t>Colorant Intense Rouge Père Noel</t>
  </si>
  <si>
    <t>DIV098</t>
  </si>
  <si>
    <t>Colorant Intense Rouge Royal</t>
  </si>
  <si>
    <t>PATISS24</t>
  </si>
  <si>
    <t>Compote 33% 5/1 UNL</t>
  </si>
  <si>
    <t>PATISS23</t>
  </si>
  <si>
    <t>Compote de pomme 26%</t>
  </si>
  <si>
    <t>DIV005</t>
  </si>
  <si>
    <t>Corne à ramasser</t>
  </si>
  <si>
    <t>LEG003</t>
  </si>
  <si>
    <t>Concombre vendéen</t>
  </si>
  <si>
    <t>Surimi râpé</t>
  </si>
  <si>
    <t>SNA09</t>
  </si>
  <si>
    <t>Cornflakes Country Farm</t>
  </si>
  <si>
    <t>SNA18</t>
  </si>
  <si>
    <t>Cornichon rondelle 5/1</t>
  </si>
  <si>
    <t>DIV004</t>
  </si>
  <si>
    <t>Coupe pate inox rigide droit</t>
  </si>
  <si>
    <t>DIV003</t>
  </si>
  <si>
    <t>Coupe pate inox souple rond</t>
  </si>
  <si>
    <t>SNA15</t>
  </si>
  <si>
    <t>Courgette 4/4</t>
  </si>
  <si>
    <t>LEG020</t>
  </si>
  <si>
    <t>Courgette</t>
  </si>
  <si>
    <t>Couronne</t>
  </si>
  <si>
    <t>PATISS01</t>
  </si>
  <si>
    <t>Couv Blanc 33% 10kG</t>
  </si>
  <si>
    <t>PATISS02</t>
  </si>
  <si>
    <t>Couv Lait 41% 10kG</t>
  </si>
  <si>
    <t>DIV086</t>
  </si>
  <si>
    <t>Couv gobelet boisson chaude 18cL</t>
  </si>
  <si>
    <t>PATISS03</t>
  </si>
  <si>
    <t>Couv noir 67% 10kG</t>
  </si>
  <si>
    <t>PATISS04</t>
  </si>
  <si>
    <t>Couv Lait caramel 5kG</t>
  </si>
  <si>
    <t>Couvercle gobelet 25cl 50pce</t>
  </si>
  <si>
    <t>CREM21</t>
  </si>
  <si>
    <t>Crème fraîche Epaisse 15% 5kg</t>
  </si>
  <si>
    <t>DIV011</t>
  </si>
  <si>
    <t>Couvercle Salade</t>
  </si>
  <si>
    <t>FRU27</t>
  </si>
  <si>
    <t>Cranberries tendres 1kg</t>
  </si>
  <si>
    <t>PATISS33</t>
  </si>
  <si>
    <t>Craouantine MGV 2,5kG</t>
  </si>
  <si>
    <t>PATISS61</t>
  </si>
  <si>
    <t>Crème Arome Cacao Barry 5kG</t>
  </si>
  <si>
    <t>CREM20</t>
  </si>
  <si>
    <t>Crème fraîche Epaisse 30% 1kG</t>
  </si>
  <si>
    <t>Crème fraîche Epaisse 30% 5kg</t>
  </si>
  <si>
    <t>CREM26</t>
  </si>
  <si>
    <t>Crème ganache cuisson 18% 1l</t>
  </si>
  <si>
    <t>CREM22</t>
  </si>
  <si>
    <t>Crème fraîche UHT Campina 35% 1L</t>
  </si>
  <si>
    <t>PATISS29</t>
  </si>
  <si>
    <t>Crème pâtissière industrielle 25kG</t>
  </si>
  <si>
    <t>INTERNE004</t>
  </si>
  <si>
    <t>Crème Patissière</t>
  </si>
  <si>
    <t>Crème pâtissière</t>
  </si>
  <si>
    <t>Crème pâtissière chocolat</t>
  </si>
  <si>
    <t>CREM25</t>
  </si>
  <si>
    <t>Crème UHT 35% BAG IN BOX 10l</t>
  </si>
  <si>
    <t>CREM23</t>
  </si>
  <si>
    <t>Crème UHT Culinaire 18% 1L</t>
  </si>
  <si>
    <t>CREM24</t>
  </si>
  <si>
    <t>Crème UHT Bleue 35%</t>
  </si>
  <si>
    <t>PATISS72</t>
  </si>
  <si>
    <t>Crépaillette 2,5kg</t>
  </si>
  <si>
    <t>AUT11</t>
  </si>
  <si>
    <t>Croissant 65g</t>
  </si>
  <si>
    <t>AUT15</t>
  </si>
  <si>
    <t xml:space="preserve">Croissant mini 25g </t>
  </si>
  <si>
    <t>Cube bleu frais dés 500g</t>
  </si>
  <si>
    <t>Cuillère bois</t>
  </si>
  <si>
    <t>Curry poudre</t>
  </si>
  <si>
    <t>BOISS02</t>
  </si>
  <si>
    <t>Eau cristaline 1,5l</t>
  </si>
  <si>
    <t>CHA04</t>
  </si>
  <si>
    <t>Dés de jambon cuit 1kg</t>
  </si>
  <si>
    <t>PATISS18</t>
  </si>
  <si>
    <t>Drops chocolat 44% 25kG</t>
  </si>
  <si>
    <t>EAU001</t>
  </si>
  <si>
    <t>Eau</t>
  </si>
  <si>
    <t>BOISS01</t>
  </si>
  <si>
    <t>Eau cristaline 50cL</t>
  </si>
  <si>
    <t>80 pack par mois</t>
  </si>
  <si>
    <t>BOISS04</t>
  </si>
  <si>
    <t>Eau cristaline Fraise 50cl</t>
  </si>
  <si>
    <t>4 pack par mois</t>
  </si>
  <si>
    <t>BOISS03</t>
  </si>
  <si>
    <t>Eau cristaline peche 50cl</t>
  </si>
  <si>
    <t>Echalotte surg 250g</t>
  </si>
  <si>
    <t>PATISS70</t>
  </si>
  <si>
    <t>Eclat croustillant Lion 400g</t>
  </si>
  <si>
    <t>CHA17</t>
  </si>
  <si>
    <t>Effiloche porc marine bbq 500g</t>
  </si>
  <si>
    <t>CHA07</t>
  </si>
  <si>
    <t>Emincée C.Poulet TEX MEX 1kG</t>
  </si>
  <si>
    <t>FRO03</t>
  </si>
  <si>
    <t>Emmental Dés 500gr</t>
  </si>
  <si>
    <t>CHA05</t>
  </si>
  <si>
    <t>Emincés poulet cuit Halal 2,5kg</t>
  </si>
  <si>
    <t>400kg par mois</t>
  </si>
  <si>
    <t>FRO01</t>
  </si>
  <si>
    <t>Emmental Râpé 45% 1kG</t>
  </si>
  <si>
    <t>FRO02</t>
  </si>
  <si>
    <t>Emmental Tranchette 40 tranches kG</t>
  </si>
  <si>
    <t>Estragon haché 250g</t>
  </si>
  <si>
    <t>DIV038</t>
  </si>
  <si>
    <t>Essuie maxi main *6</t>
  </si>
  <si>
    <t>BOISS12</t>
  </si>
  <si>
    <t>Fanta Citron 50cL</t>
  </si>
  <si>
    <t>BOISS11</t>
  </si>
  <si>
    <t>Fanta Orange 50cL</t>
  </si>
  <si>
    <t>BOISS10</t>
  </si>
  <si>
    <t>Fanta Orange 33cL</t>
  </si>
  <si>
    <t>Fèves 2025</t>
  </si>
  <si>
    <t>GIR002</t>
  </si>
  <si>
    <t>Farine Bio Bise UE</t>
  </si>
  <si>
    <t>GIR003</t>
  </si>
  <si>
    <t>Farine Complet Arthur</t>
  </si>
  <si>
    <t>GIR004</t>
  </si>
  <si>
    <t>Farine du Marché</t>
  </si>
  <si>
    <t>GIR001</t>
  </si>
  <si>
    <t>Farine Emilie TF T65</t>
  </si>
  <si>
    <t>GIR006</t>
  </si>
  <si>
    <t>Farine Spéciale Feuilletage</t>
  </si>
  <si>
    <t>GIR005</t>
  </si>
  <si>
    <t>Farine T45</t>
  </si>
  <si>
    <t>Farine Toque Mauve</t>
  </si>
  <si>
    <t>AUT17</t>
  </si>
  <si>
    <t>Feta mini dés 1,3kg</t>
  </si>
  <si>
    <t>INTERNE005</t>
  </si>
  <si>
    <t>Feuilletage</t>
  </si>
  <si>
    <t>FRU02</t>
  </si>
  <si>
    <t>Figues 10kg</t>
  </si>
  <si>
    <t>Fond plie 10cm Or/Noir</t>
  </si>
  <si>
    <t>DIV078</t>
  </si>
  <si>
    <t>Film Alimentaire</t>
  </si>
  <si>
    <t>DIV077</t>
  </si>
  <si>
    <t>Flle PEHD Transparente 60*80</t>
  </si>
  <si>
    <t>SNA07</t>
  </si>
  <si>
    <t>Flocon de pomme terre sac 5kg</t>
  </si>
  <si>
    <t>DIV014</t>
  </si>
  <si>
    <t>Fond plie 13cm Or/Noir</t>
  </si>
  <si>
    <t>AUT08</t>
  </si>
  <si>
    <t>Fondant congel fondaleb 15kg</t>
  </si>
  <si>
    <t>CREM05</t>
  </si>
  <si>
    <t>Fondant Blanc 15kG</t>
  </si>
  <si>
    <t>Fondant chocolat</t>
  </si>
  <si>
    <t>PATISS05</t>
  </si>
  <si>
    <t>Fondette Tevenn 36% 5kg WEISS</t>
  </si>
  <si>
    <t>PATISS43</t>
  </si>
  <si>
    <t>Fourrage Pata'Noisette 6kg</t>
  </si>
  <si>
    <t>Fraise Tagada 210 pce</t>
  </si>
  <si>
    <t>LEG027</t>
  </si>
  <si>
    <t>Fraise plateau</t>
  </si>
  <si>
    <t>FRU09</t>
  </si>
  <si>
    <t>Framboise 13kg</t>
  </si>
  <si>
    <t>Framboise pépin</t>
  </si>
  <si>
    <t>FRU07</t>
  </si>
  <si>
    <t>Framboise 5kG</t>
  </si>
  <si>
    <t>FRU08</t>
  </si>
  <si>
    <t>Framboise 8kG</t>
  </si>
  <si>
    <t>LEG008</t>
  </si>
  <si>
    <t>Framboise barquette</t>
  </si>
  <si>
    <t>FRU06</t>
  </si>
  <si>
    <t>Framboise bille 1kG</t>
  </si>
  <si>
    <t>FRU10</t>
  </si>
  <si>
    <t>Framboise petite taille M</t>
  </si>
  <si>
    <t>PATISS60</t>
  </si>
  <si>
    <t>SNA04</t>
  </si>
  <si>
    <t>Frites surgelées 2,5kG</t>
  </si>
  <si>
    <t>BOISS16</t>
  </si>
  <si>
    <t>Fuze tea 40cL</t>
  </si>
  <si>
    <t>BOISS15</t>
  </si>
  <si>
    <t>Fuze tea 33cL</t>
  </si>
  <si>
    <t>Galette de poulet pané Cornflakes</t>
  </si>
  <si>
    <t>Galette de poulet pané</t>
  </si>
  <si>
    <t>Ganache montée</t>
  </si>
  <si>
    <t>Gant M</t>
  </si>
  <si>
    <t>PATISS76</t>
  </si>
  <si>
    <t>Gateau nougat nature 20 parts</t>
  </si>
  <si>
    <t>PATISS38</t>
  </si>
  <si>
    <t>Gélatine Poudre Bovine 200 Briancon 1 kG</t>
  </si>
  <si>
    <t>FRU24</t>
  </si>
  <si>
    <t>Glucose déshydraté 5kg</t>
  </si>
  <si>
    <t>FRU23</t>
  </si>
  <si>
    <t>Glucose sirop eau 15kG</t>
  </si>
  <si>
    <t>DIV085</t>
  </si>
  <si>
    <t>Gobelet boisson chaude 18cL</t>
  </si>
  <si>
    <t>Gobelet boisson chaude 25cL 50pce</t>
  </si>
  <si>
    <t>DIV031</t>
  </si>
  <si>
    <t>Grain café 1kG</t>
  </si>
  <si>
    <t>FAR04</t>
  </si>
  <si>
    <t>Graine Pavot Bleu 5kg</t>
  </si>
  <si>
    <t>CHA24</t>
  </si>
  <si>
    <t>Graine sésame Blanc 5kG</t>
  </si>
  <si>
    <t>PATISS19</t>
  </si>
  <si>
    <t>Grains café / Choco 1kg</t>
  </si>
  <si>
    <t>Graisse de palme 10kg</t>
  </si>
  <si>
    <t>FRU21</t>
  </si>
  <si>
    <t>Griotte Denoyotée 1kG</t>
  </si>
  <si>
    <t>Haricot Vert Surj 2,5kg</t>
  </si>
  <si>
    <t>AUT04</t>
  </si>
  <si>
    <t>Huile de Colza 5l</t>
  </si>
  <si>
    <t>AUT06</t>
  </si>
  <si>
    <t>Huile de friture 20l</t>
  </si>
  <si>
    <t>SNA01</t>
  </si>
  <si>
    <t>Huile de tournesol 5L</t>
  </si>
  <si>
    <t>AUT05</t>
  </si>
  <si>
    <t>Huile d'olive 5l</t>
  </si>
  <si>
    <t>BOISS13</t>
  </si>
  <si>
    <t>Ice Tea Pêche 33cL</t>
  </si>
  <si>
    <t>BOISS14</t>
  </si>
  <si>
    <t>Ice Tea Pêche 50cL</t>
  </si>
  <si>
    <t>CHA01</t>
  </si>
  <si>
    <t>Jambon Blanc Tranche</t>
  </si>
  <si>
    <t>150 paquets par mois</t>
  </si>
  <si>
    <t>CHA03</t>
  </si>
  <si>
    <t>Jambon Cru de Pays</t>
  </si>
  <si>
    <t>OEU03</t>
  </si>
  <si>
    <t>Jaune Œuf Cocotine PEP 1kG</t>
  </si>
  <si>
    <t>K d'arôme</t>
  </si>
  <si>
    <t>DIV091</t>
  </si>
  <si>
    <t>Kit couverts Bois</t>
  </si>
  <si>
    <t>LEG005</t>
  </si>
  <si>
    <t>Kiwi</t>
  </si>
  <si>
    <t>CREM01</t>
  </si>
  <si>
    <t>Lait 1/2 Ecrémé 1L</t>
  </si>
  <si>
    <t>Lait Concentré dosette</t>
  </si>
  <si>
    <t>CREM02</t>
  </si>
  <si>
    <t>Lait concentré Sucre Régilait 397g</t>
  </si>
  <si>
    <t>CHA15</t>
  </si>
  <si>
    <t>Lamelle bœuf Cuite grillée 3kg</t>
  </si>
  <si>
    <t>CHA21</t>
  </si>
  <si>
    <t>Lardon 1kG</t>
  </si>
  <si>
    <t>DIV036</t>
  </si>
  <si>
    <t>Lavette ajourée anti bact bleue</t>
  </si>
  <si>
    <t>INTERNE002</t>
  </si>
  <si>
    <t>Levain Dur</t>
  </si>
  <si>
    <t>CREM09</t>
  </si>
  <si>
    <t>Levure chimique 1kG</t>
  </si>
  <si>
    <t>CREM10</t>
  </si>
  <si>
    <t>Levure ecopack levamax 2,5kg</t>
  </si>
  <si>
    <t>CREM08</t>
  </si>
  <si>
    <t>Levure Hirondelle 1895 Bande 2,5kG</t>
  </si>
  <si>
    <t>CREM07</t>
  </si>
  <si>
    <t>Levure Hirondelle Bleue 2,5kG</t>
  </si>
  <si>
    <t>CREM06</t>
  </si>
  <si>
    <t>Levure Hirondelle Or 2,5kG</t>
  </si>
  <si>
    <t>Liqueur de chouan 5l</t>
  </si>
  <si>
    <t>FAR03</t>
  </si>
  <si>
    <t>Maïs Boite 4/4 600g</t>
  </si>
  <si>
    <t>Margarine 10kg</t>
  </si>
  <si>
    <t>Mascarpone 500g</t>
  </si>
  <si>
    <t>SAU02</t>
  </si>
  <si>
    <t>Mayonnaise 5L</t>
  </si>
  <si>
    <t>FAR05</t>
  </si>
  <si>
    <t>Mélange 6 Graines 25kG</t>
  </si>
  <si>
    <t>Melon</t>
  </si>
  <si>
    <t>Merguez rondelles</t>
  </si>
  <si>
    <t>CREM04</t>
  </si>
  <si>
    <t>Miel Seau 5kg</t>
  </si>
  <si>
    <t>BOISS30</t>
  </si>
  <si>
    <t>Minute Maid Orange 33cL</t>
  </si>
  <si>
    <t>BOISS29</t>
  </si>
  <si>
    <t>Minute Maid Pomme 33cL</t>
  </si>
  <si>
    <t>FRU26</t>
  </si>
  <si>
    <t>Mirabelle France Sirop 2/1</t>
  </si>
  <si>
    <t>DIV084</t>
  </si>
  <si>
    <t>Moule Alu To 200 Hauteur 38</t>
  </si>
  <si>
    <t>SAU03</t>
  </si>
  <si>
    <t>Moutarde Seau 5kG</t>
  </si>
  <si>
    <t>FRO10</t>
  </si>
  <si>
    <t>Mozzarella bille 1300g</t>
  </si>
  <si>
    <t>FRO08</t>
  </si>
  <si>
    <t>Mozzarella Cossette 2kG</t>
  </si>
  <si>
    <t>FRO09</t>
  </si>
  <si>
    <t>Mozzarella Tranche 65mm 1.3kG</t>
  </si>
  <si>
    <t>LEG028</t>
  </si>
  <si>
    <t>Myrtille barquette</t>
  </si>
  <si>
    <t>PATISS42</t>
  </si>
  <si>
    <t>Nappage Blond seau 14kg</t>
  </si>
  <si>
    <t>PATISS41</t>
  </si>
  <si>
    <t>Nappage neutre seau 7kg</t>
  </si>
  <si>
    <t>PATISS77</t>
  </si>
  <si>
    <t>Nappage Spray Neutre BIB 13kg</t>
  </si>
  <si>
    <t>PATISS62</t>
  </si>
  <si>
    <t>Noisette decortiquée 13/15 1kG</t>
  </si>
  <si>
    <t>Noisette entière 1kg</t>
  </si>
  <si>
    <t>PATISS64</t>
  </si>
  <si>
    <t>Noisette Hachée 2/4mm 1kg</t>
  </si>
  <si>
    <t>PATISS63</t>
  </si>
  <si>
    <t>Noisette poudre grise 1kG</t>
  </si>
  <si>
    <t>PATISS21</t>
  </si>
  <si>
    <t>Nutella pot 3kG</t>
  </si>
  <si>
    <t>BOISS24</t>
  </si>
  <si>
    <t>Oasis Pomme Cassis Framboise 33cL</t>
  </si>
  <si>
    <t>BOISS25</t>
  </si>
  <si>
    <t>Oasis Pomme Cassis Framboise 50cL</t>
  </si>
  <si>
    <t>BOISS22</t>
  </si>
  <si>
    <t>Oasis Tropical 33cL</t>
  </si>
  <si>
    <t>BOISS23</t>
  </si>
  <si>
    <t>Oasis Tropical 50cL</t>
  </si>
  <si>
    <t>OEU01</t>
  </si>
  <si>
    <t>Œuf Entier Liquide OVIPAC 5kG</t>
  </si>
  <si>
    <t>OEU04</t>
  </si>
  <si>
    <t>Œuf Frais</t>
  </si>
  <si>
    <t>CHA29</t>
  </si>
  <si>
    <t>Oignon emincés surgelé 2,5kG</t>
  </si>
  <si>
    <t>CHA30</t>
  </si>
  <si>
    <t>Oignon frit 2,5kg</t>
  </si>
  <si>
    <t>LEG019</t>
  </si>
  <si>
    <t>Oignon jaune</t>
  </si>
  <si>
    <t>LEG018</t>
  </si>
  <si>
    <t>Oignon rouge</t>
  </si>
  <si>
    <t>SNA14</t>
  </si>
  <si>
    <t>Olive noire denoyotée 4/4</t>
  </si>
  <si>
    <t>LEG013</t>
  </si>
  <si>
    <t>Orange dessert</t>
  </si>
  <si>
    <t>LEG014</t>
  </si>
  <si>
    <t>Orange Jus</t>
  </si>
  <si>
    <t>BOISS08</t>
  </si>
  <si>
    <t>Orangina 33cL</t>
  </si>
  <si>
    <t>BOISS09</t>
  </si>
  <si>
    <t>Orangina 50cL</t>
  </si>
  <si>
    <t>FRU31</t>
  </si>
  <si>
    <t>Ouetsche N.Azoioue Sirop 2/1</t>
  </si>
  <si>
    <t>PATISS69</t>
  </si>
  <si>
    <t>Paillette Feuilletine 2,5kg</t>
  </si>
  <si>
    <t>PATISS68</t>
  </si>
  <si>
    <t>Paillette Super fin 1kg</t>
  </si>
  <si>
    <t>Pain Burger</t>
  </si>
  <si>
    <t>AUT12</t>
  </si>
  <si>
    <t>Pain chocolat 75g</t>
  </si>
  <si>
    <t>AUT14</t>
  </si>
  <si>
    <t>Pain chocolat mini 28g</t>
  </si>
  <si>
    <t>AUT13</t>
  </si>
  <si>
    <t>Pain raisin 120g</t>
  </si>
  <si>
    <t>AUT16</t>
  </si>
  <si>
    <t>Pain raisin mini 35g</t>
  </si>
  <si>
    <t>AUT10</t>
  </si>
  <si>
    <t>Pain suedois rond d16</t>
  </si>
  <si>
    <t>DIV090</t>
  </si>
  <si>
    <t>Panibois Duc Uni Carton 100</t>
  </si>
  <si>
    <t>DIV040</t>
  </si>
  <si>
    <t>Papier silicone blanc 60x40</t>
  </si>
  <si>
    <t>FRO04</t>
  </si>
  <si>
    <t>Parmesan petales 500g</t>
  </si>
  <si>
    <t>Pâte à choux Eclair</t>
  </si>
  <si>
    <t>Pâte à cookie</t>
  </si>
  <si>
    <t>PATISS26</t>
  </si>
  <si>
    <t>Pâte à tartiner Speculos 3kg</t>
  </si>
  <si>
    <t>PATISS25</t>
  </si>
  <si>
    <t>Pâte à tartiner Speculos 720g</t>
  </si>
  <si>
    <t>PATISS17</t>
  </si>
  <si>
    <t>Pâte amandes 23% Blanche 6kg</t>
  </si>
  <si>
    <t>INTERNE001</t>
  </si>
  <si>
    <t>Pâte Fermenté</t>
  </si>
  <si>
    <t>INTERNE003</t>
  </si>
  <si>
    <t>Pâte Fermentée Viennoiserie</t>
  </si>
  <si>
    <t>INTERNE006</t>
  </si>
  <si>
    <t>Pâte Tradition</t>
  </si>
  <si>
    <t>PATISS40</t>
  </si>
  <si>
    <t>Pectine NH Nappage 1kG</t>
  </si>
  <si>
    <t>DIV006</t>
  </si>
  <si>
    <t>Pellon a four alu</t>
  </si>
  <si>
    <t>SNA10</t>
  </si>
  <si>
    <t>Pennes rigate 5kg</t>
  </si>
  <si>
    <t>BOISS31</t>
  </si>
  <si>
    <t>Perrier 33cL</t>
  </si>
  <si>
    <t>Persil 1kg</t>
  </si>
  <si>
    <t>SAU08</t>
  </si>
  <si>
    <t>Pesto Rouge 340g</t>
  </si>
  <si>
    <t>SAU05</t>
  </si>
  <si>
    <t>Pesto Vert 900g</t>
  </si>
  <si>
    <t>CHA11</t>
  </si>
  <si>
    <t>Pétale de jambon cru de pays 500g</t>
  </si>
  <si>
    <t>DIV001</t>
  </si>
  <si>
    <t>Pinceau soies naturelles 40</t>
  </si>
  <si>
    <t>DIV002</t>
  </si>
  <si>
    <t>Pinceau soies naturelles 50</t>
  </si>
  <si>
    <t>DIV015</t>
  </si>
  <si>
    <t>Pipette plastique 4mL</t>
  </si>
  <si>
    <t>PATISS79</t>
  </si>
  <si>
    <t>Pistache Decortiquée 1kG</t>
  </si>
  <si>
    <t>PATISS67</t>
  </si>
  <si>
    <t>Pistache Pâte 3kg</t>
  </si>
  <si>
    <t>DIV060</t>
  </si>
  <si>
    <t>Plaque calage Tulicup PM 35mns</t>
  </si>
  <si>
    <t>DIV059</t>
  </si>
  <si>
    <t>Plaque Or Noir/Or 60*40</t>
  </si>
  <si>
    <t>DIV050</t>
  </si>
  <si>
    <t>Plaque rond Uni Or 16</t>
  </si>
  <si>
    <t>DIV051</t>
  </si>
  <si>
    <t>Plaque rond Uni Or 18</t>
  </si>
  <si>
    <t>DIV048</t>
  </si>
  <si>
    <t>Plaque rond Uni Or 20</t>
  </si>
  <si>
    <t>DIV049</t>
  </si>
  <si>
    <t>Plaque rond Uni Or 24</t>
  </si>
  <si>
    <t>DIV046</t>
  </si>
  <si>
    <t>Plaque rond Uni Or 26</t>
  </si>
  <si>
    <t>DIV047</t>
  </si>
  <si>
    <t>Plaque rond Uni Or 28</t>
  </si>
  <si>
    <t>DIV052</t>
  </si>
  <si>
    <t>Plaque ronds uni Noir et Or 16</t>
  </si>
  <si>
    <t>DIV053</t>
  </si>
  <si>
    <t>Plaque ronds uni Noir et Or 18</t>
  </si>
  <si>
    <t>DIV054</t>
  </si>
  <si>
    <t>Plaque ronds uni Noir et Or 20</t>
  </si>
  <si>
    <t>DIV055</t>
  </si>
  <si>
    <t>Plaque ronds uni Noir et Or 22</t>
  </si>
  <si>
    <t>DIV056</t>
  </si>
  <si>
    <t>Plaque ronds uni Noir et Or 24</t>
  </si>
  <si>
    <t>DIV057</t>
  </si>
  <si>
    <t>Plaque ronds uni Noir et Or 26</t>
  </si>
  <si>
    <t>DIV058</t>
  </si>
  <si>
    <t>Plaque ronds uni Noir et Or 28</t>
  </si>
  <si>
    <t>DIV083</t>
  </si>
  <si>
    <t>Plaque tritan flocon 5cms BARRY</t>
  </si>
  <si>
    <t>DIV041</t>
  </si>
  <si>
    <t>Plat Alu "Alupla" 138</t>
  </si>
  <si>
    <t>DIV010</t>
  </si>
  <si>
    <t>Plateau Mignardises 165x115</t>
  </si>
  <si>
    <t>DIV019</t>
  </si>
  <si>
    <t>Plateau Traiteur Argent 28*42</t>
  </si>
  <si>
    <t>DIV017</t>
  </si>
  <si>
    <t>Plateau Traiteur Noir 28*42</t>
  </si>
  <si>
    <t>DIV016</t>
  </si>
  <si>
    <t>Plateau Traiteur Or 28*42</t>
  </si>
  <si>
    <t>DIV079</t>
  </si>
  <si>
    <t>Poche jetable 54cm</t>
  </si>
  <si>
    <t>LEG010</t>
  </si>
  <si>
    <t>Poire</t>
  </si>
  <si>
    <t>Poire cube 10kg</t>
  </si>
  <si>
    <t>FRU12</t>
  </si>
  <si>
    <t>Poire entière 1/2</t>
  </si>
  <si>
    <t>FRU11</t>
  </si>
  <si>
    <t>Poire sirop 5/1</t>
  </si>
  <si>
    <t>SNA17</t>
  </si>
  <si>
    <t>Poivron a l'huile grillés 4/4</t>
  </si>
  <si>
    <t>LEG023</t>
  </si>
  <si>
    <t>Poivron jaune</t>
  </si>
  <si>
    <t>SNA16</t>
  </si>
  <si>
    <t>Poivron lanières tricolores 5/1</t>
  </si>
  <si>
    <t>LEG021</t>
  </si>
  <si>
    <t>Poivron rouge</t>
  </si>
  <si>
    <t>CHA28</t>
  </si>
  <si>
    <t>Poivron rouge vert lanie 2,5kG</t>
  </si>
  <si>
    <t>CHA27</t>
  </si>
  <si>
    <t>Poivron Rouge/Vert/Jaune 2,5kG</t>
  </si>
  <si>
    <t>LEG022</t>
  </si>
  <si>
    <t>Poivron vert</t>
  </si>
  <si>
    <t>LEG015</t>
  </si>
  <si>
    <t>Pomme de terre</t>
  </si>
  <si>
    <t>SNA05</t>
  </si>
  <si>
    <t>Pomme de terre lamelle 2,5kg</t>
  </si>
  <si>
    <t>FRU05</t>
  </si>
  <si>
    <t>Pomme entière 1/2</t>
  </si>
  <si>
    <t>FRU04</t>
  </si>
  <si>
    <t>Pomme gala 18,2kG</t>
  </si>
  <si>
    <t>LEG026</t>
  </si>
  <si>
    <t>Pomme golden</t>
  </si>
  <si>
    <t>PATISS54</t>
  </si>
  <si>
    <t>Pomme Pêche Blanche 1kg</t>
  </si>
  <si>
    <t>PATISS53</t>
  </si>
  <si>
    <t>Pomme Pomme verte 1kg</t>
  </si>
  <si>
    <t>SNA06</t>
  </si>
  <si>
    <t>Pomme ROSTI TOASTIES 2,5kg</t>
  </si>
  <si>
    <t>DIV018</t>
  </si>
  <si>
    <t>Pot dessert 200mL</t>
  </si>
  <si>
    <t>DIV012</t>
  </si>
  <si>
    <t>Pots rond Salade Kraft</t>
  </si>
  <si>
    <t>DIV013</t>
  </si>
  <si>
    <t>Pots ronds wrap kraft</t>
  </si>
  <si>
    <t>PATISS32</t>
  </si>
  <si>
    <t>Poudre à lever BE 1kG</t>
  </si>
  <si>
    <t>AUT07</t>
  </si>
  <si>
    <t>Poudre Crème chaud 25kg</t>
  </si>
  <si>
    <t>PATISS31</t>
  </si>
  <si>
    <t>Poudre crème pâtissière 25kG</t>
  </si>
  <si>
    <t>PATISS30</t>
  </si>
  <si>
    <t>Poudre crème pâtissière 5kG</t>
  </si>
  <si>
    <t>CREM03</t>
  </si>
  <si>
    <t>Poudre lait Entier 26% 25kG</t>
  </si>
  <si>
    <t>CHA06</t>
  </si>
  <si>
    <t>Poulet kebab 1kG</t>
  </si>
  <si>
    <t>PATISS39</t>
  </si>
  <si>
    <t>Praligrain Marguerite 1kG</t>
  </si>
  <si>
    <t>PATISS35</t>
  </si>
  <si>
    <t>Praline Amandes / Noisettes 5kg</t>
  </si>
  <si>
    <t>DIV039</t>
  </si>
  <si>
    <t>Produits ménager 5L</t>
  </si>
  <si>
    <t>FRU28</t>
  </si>
  <si>
    <t>Pruneaux denoyoté 2,5kg</t>
  </si>
  <si>
    <t>Pulco 33cL</t>
  </si>
  <si>
    <t>BOISS34</t>
  </si>
  <si>
    <t>Pulco 50cL</t>
  </si>
  <si>
    <t>PATISS46</t>
  </si>
  <si>
    <t>Pure Fruit Passion 1kg</t>
  </si>
  <si>
    <t>PATISS55</t>
  </si>
  <si>
    <t>Purée Abricot 1kg</t>
  </si>
  <si>
    <t>PATISS47</t>
  </si>
  <si>
    <t>Purée Ananas 1kg</t>
  </si>
  <si>
    <t>PATISS45</t>
  </si>
  <si>
    <t>Purée banane 1kg</t>
  </si>
  <si>
    <t>PATISS49</t>
  </si>
  <si>
    <t>Purée Cassis 1kg</t>
  </si>
  <si>
    <t>PATISS50</t>
  </si>
  <si>
    <t>Purée fraise 1kg</t>
  </si>
  <si>
    <t>PATISS56</t>
  </si>
  <si>
    <t>Purée Framboise 1kG</t>
  </si>
  <si>
    <t>PATISS48</t>
  </si>
  <si>
    <t>Purée Fruit exotique 1kg</t>
  </si>
  <si>
    <t>Purée fruits rouges</t>
  </si>
  <si>
    <t>PATISS78</t>
  </si>
  <si>
    <t>Purée Mangue 1kg</t>
  </si>
  <si>
    <t>PATISS51</t>
  </si>
  <si>
    <t>Purée Orange 1kg</t>
  </si>
  <si>
    <t>Purée Passion 10kg</t>
  </si>
  <si>
    <t>PATISS44</t>
  </si>
  <si>
    <t>Purée Poire 1kg</t>
  </si>
  <si>
    <t>PATISS52</t>
  </si>
  <si>
    <t>Purée Pomme verte 1kg</t>
  </si>
  <si>
    <t>FRU30</t>
  </si>
  <si>
    <t>Quetsches Sirop 21</t>
  </si>
  <si>
    <t>Raclette Tranche</t>
  </si>
  <si>
    <t>LEG007</t>
  </si>
  <si>
    <t>Raisin noir</t>
  </si>
  <si>
    <t>FRU01</t>
  </si>
  <si>
    <t>Raisin sec 15kG</t>
  </si>
  <si>
    <t>DIV080</t>
  </si>
  <si>
    <t>Rame papier cuisson 40g</t>
  </si>
  <si>
    <t>BOISS07</t>
  </si>
  <si>
    <t>RedBull 25cL</t>
  </si>
  <si>
    <t>DIV071</t>
  </si>
  <si>
    <t>Reglette transparente 16x3,5x3,5</t>
  </si>
  <si>
    <t>FAR01</t>
  </si>
  <si>
    <t>Rex Borodino'Mais 100% 15kg</t>
  </si>
  <si>
    <t>FRU18</t>
  </si>
  <si>
    <t>Rhubarbe Morceaux 1kG</t>
  </si>
  <si>
    <t>PATISS20</t>
  </si>
  <si>
    <t>Rhum 40° 20L + taxe</t>
  </si>
  <si>
    <t>Rhum 54° 20L + taxe</t>
  </si>
  <si>
    <t>CHA12</t>
  </si>
  <si>
    <t>Rillaud mini 500g</t>
  </si>
  <si>
    <t>SNA20</t>
  </si>
  <si>
    <t>Riz long 5kG</t>
  </si>
  <si>
    <t>FRO12</t>
  </si>
  <si>
    <t>Roblochon D,80mm 650g centurion</t>
  </si>
  <si>
    <t>FRO11</t>
  </si>
  <si>
    <t>Roblochon tranche 500g</t>
  </si>
  <si>
    <t>DIV072</t>
  </si>
  <si>
    <t>Rond languette 8cm anis/fushia</t>
  </si>
  <si>
    <t>DIV076</t>
  </si>
  <si>
    <t>Rond Or 9cm</t>
  </si>
  <si>
    <t>DIV073</t>
  </si>
  <si>
    <t>Rond Or/Blanc 8cm</t>
  </si>
  <si>
    <t>DIV074</t>
  </si>
  <si>
    <t>Rond Or/Noir 8cm</t>
  </si>
  <si>
    <t>DIV075</t>
  </si>
  <si>
    <t>Rond Or/Noir 9cm</t>
  </si>
  <si>
    <t>CHA13</t>
  </si>
  <si>
    <t>Rosette tranche 1kG</t>
  </si>
  <si>
    <t>CHA16</t>
  </si>
  <si>
    <t>Roti de porc cuit 14 tranches 500g</t>
  </si>
  <si>
    <t>DIV009</t>
  </si>
  <si>
    <t>Rouleau PVC Incolore 45mm 100 microns</t>
  </si>
  <si>
    <t>DIV008</t>
  </si>
  <si>
    <t>Rouleau scelleuse rouge</t>
  </si>
  <si>
    <t>Sablée Breton</t>
  </si>
  <si>
    <t xml:space="preserve">Sac à galette </t>
  </si>
  <si>
    <t>EMB01</t>
  </si>
  <si>
    <t>Sachet Brioche</t>
  </si>
  <si>
    <t>Sachet Neutre 14*25</t>
  </si>
  <si>
    <t>DIV068</t>
  </si>
  <si>
    <t>Sacs AF neutre 10*22</t>
  </si>
  <si>
    <t>DIV067</t>
  </si>
  <si>
    <t>Sacs AF neutre 14*30</t>
  </si>
  <si>
    <t>DIV065</t>
  </si>
  <si>
    <t>Sacs Bio Pain Beige</t>
  </si>
  <si>
    <t>DIV062</t>
  </si>
  <si>
    <t>Sacs Bio Pain Bleu</t>
  </si>
  <si>
    <t>DIV064</t>
  </si>
  <si>
    <t>Sacs Bio Pain Jaune</t>
  </si>
  <si>
    <t>DIV063</t>
  </si>
  <si>
    <t>Sacs Bio Pain Vert</t>
  </si>
  <si>
    <t>DIV096</t>
  </si>
  <si>
    <t>Sacs brioche Kraft</t>
  </si>
  <si>
    <t>DIV070</t>
  </si>
  <si>
    <t>Sacs cabas kraft anse</t>
  </si>
  <si>
    <t>DIV089</t>
  </si>
  <si>
    <t>Sacs CELLO Plat</t>
  </si>
  <si>
    <t>DIV093</t>
  </si>
  <si>
    <t>Sacs croissant Kraft taille2</t>
  </si>
  <si>
    <t>DIV094</t>
  </si>
  <si>
    <t>Sacs croissant Kraft taille3</t>
  </si>
  <si>
    <t>DIV095</t>
  </si>
  <si>
    <t>Sacs croissant Kraft taille4</t>
  </si>
  <si>
    <t>DIV069</t>
  </si>
  <si>
    <t>Sacs Polypro 24*53</t>
  </si>
  <si>
    <t>DIV037</t>
  </si>
  <si>
    <t>Sacs poubelles 130L</t>
  </si>
  <si>
    <t>DIV066</t>
  </si>
  <si>
    <t>Sacs Sandwich taupe</t>
  </si>
  <si>
    <t>LEG001</t>
  </si>
  <si>
    <t>Salade batavia sachet</t>
  </si>
  <si>
    <t>CHA23</t>
  </si>
  <si>
    <t>Salade composée 500g</t>
  </si>
  <si>
    <t>LEG024</t>
  </si>
  <si>
    <t>Salade Mache</t>
  </si>
  <si>
    <t>LEG025</t>
  </si>
  <si>
    <t>Salade Roquette</t>
  </si>
  <si>
    <t>BOISS06</t>
  </si>
  <si>
    <t>San Pellegrino 50cL</t>
  </si>
  <si>
    <t>Sauce Algérienne</t>
  </si>
  <si>
    <t>SAU11</t>
  </si>
  <si>
    <t>Sauce Barbecue Lesieur 970mL</t>
  </si>
  <si>
    <t>SAU06</t>
  </si>
  <si>
    <t>Sauce blanche 860g</t>
  </si>
  <si>
    <t>Sauce Cesar</t>
  </si>
  <si>
    <t>SAU07</t>
  </si>
  <si>
    <t>Sauce Curry 950g</t>
  </si>
  <si>
    <t>Sauce Hannibal Samouraï</t>
  </si>
  <si>
    <t>SAU01</t>
  </si>
  <si>
    <t>Sauce Ketchup 950g</t>
  </si>
  <si>
    <t>Sauce Moutarde seau</t>
  </si>
  <si>
    <t>SAU04</t>
  </si>
  <si>
    <t>Sauce Risso Andalouse 1L</t>
  </si>
  <si>
    <t>Sauce salade 100 dosettes</t>
  </si>
  <si>
    <t>CHA34</t>
  </si>
  <si>
    <t>Saumon petite tranche fumé 300g</t>
  </si>
  <si>
    <t>DIV035</t>
  </si>
  <si>
    <t>Savarin Carré</t>
  </si>
  <si>
    <t>Schweppes Agrum 33cL</t>
  </si>
  <si>
    <t>BOISS28</t>
  </si>
  <si>
    <t>Schweppes Agrum 50cL</t>
  </si>
  <si>
    <t>DIV007</t>
  </si>
  <si>
    <t>Scotch 66m</t>
  </si>
  <si>
    <t>CREM28</t>
  </si>
  <si>
    <t>Sel fin 25kG</t>
  </si>
  <si>
    <t>CREM27</t>
  </si>
  <si>
    <t>Sel Gros gris guerande 25kg</t>
  </si>
  <si>
    <t>DIV088</t>
  </si>
  <si>
    <t>Serviettes blanches</t>
  </si>
  <si>
    <t>PATISS27</t>
  </si>
  <si>
    <t>Speculos concassé 900g</t>
  </si>
  <si>
    <t>BOISS26</t>
  </si>
  <si>
    <t>Sprite 33cL</t>
  </si>
  <si>
    <t>BOISS27</t>
  </si>
  <si>
    <t>Sprite 50cL</t>
  </si>
  <si>
    <t>CHA14</t>
  </si>
  <si>
    <t>Steak Haché Charal</t>
  </si>
  <si>
    <t>15-20 cartons par mois</t>
  </si>
  <si>
    <t>Steak Haché frais</t>
  </si>
  <si>
    <t>Steak Végé 110g</t>
  </si>
  <si>
    <t>SAU09</t>
  </si>
  <si>
    <t>Stick Ketchup</t>
  </si>
  <si>
    <t>SAU10</t>
  </si>
  <si>
    <t>Stick Mayonnaise</t>
  </si>
  <si>
    <t>PATISS09</t>
  </si>
  <si>
    <t>Sucre cassonade 25kG (Pure Canne)</t>
  </si>
  <si>
    <t>PATISS06</t>
  </si>
  <si>
    <t>Sucre Crist Semoule 25kG</t>
  </si>
  <si>
    <t>Sucre décor</t>
  </si>
  <si>
    <t>PATISS07</t>
  </si>
  <si>
    <t>Sucre glace sac papier 10kG</t>
  </si>
  <si>
    <t>PATISS08</t>
  </si>
  <si>
    <t>Sucre Grain n°6 10kG</t>
  </si>
  <si>
    <t>CHA32</t>
  </si>
  <si>
    <t>Surimi Rapé 500gr</t>
  </si>
  <si>
    <t>CREM11</t>
  </si>
  <si>
    <t>Tartimalin Demi-sel 1kg</t>
  </si>
  <si>
    <t>40kg par mois</t>
  </si>
  <si>
    <t>CREM12</t>
  </si>
  <si>
    <t>Tartimalin Fromage à la crème 1L</t>
  </si>
  <si>
    <t>CHA31</t>
  </si>
  <si>
    <t>Thon morceaux 650gr</t>
  </si>
  <si>
    <t>LEG004</t>
  </si>
  <si>
    <t>Tomate cerise barquette</t>
  </si>
  <si>
    <t>SNA12</t>
  </si>
  <si>
    <t>Tomate confite 4/4</t>
  </si>
  <si>
    <t>SNA13</t>
  </si>
  <si>
    <t>Tomate fraîches 57/67</t>
  </si>
  <si>
    <t>CHA26</t>
  </si>
  <si>
    <t>Tomate pizzata 4/4</t>
  </si>
  <si>
    <t>SNA11</t>
  </si>
  <si>
    <t>Tomate pizzata 4/4 Brousse</t>
  </si>
  <si>
    <t>LEG002</t>
  </si>
  <si>
    <t>Tomates rondes</t>
  </si>
  <si>
    <t>FRO16</t>
  </si>
  <si>
    <t>Tomme de brebis Tranche 400g</t>
  </si>
  <si>
    <t>Top Fournil</t>
  </si>
  <si>
    <t>SNA02</t>
  </si>
  <si>
    <t>Tortillas Wraps 30cm</t>
  </si>
  <si>
    <t>CHA35</t>
  </si>
  <si>
    <t>Tost'o Chèvre 40% Soignon 750gr</t>
  </si>
  <si>
    <t>PATISS10</t>
  </si>
  <si>
    <t>Trimoline seau 15kg</t>
  </si>
  <si>
    <t>BOISS35</t>
  </si>
  <si>
    <t>Tropico Original 33cl</t>
  </si>
  <si>
    <t>PATISS75</t>
  </si>
  <si>
    <t>Vanille broyée epuisée 150g</t>
  </si>
  <si>
    <t>Végétaline</t>
  </si>
  <si>
    <t>AUT02</t>
  </si>
  <si>
    <t>Vinaigre d'alcool blanc 1,5l</t>
  </si>
  <si>
    <t>AUT01</t>
  </si>
  <si>
    <t>Vinaigre de cidre 1l</t>
  </si>
  <si>
    <t>AUT03</t>
  </si>
  <si>
    <t xml:space="preserve">Vinaigrette balsamique </t>
  </si>
  <si>
    <t>BOISS05</t>
  </si>
  <si>
    <t>Volvic citron 50cl</t>
  </si>
  <si>
    <t>Coco Rapé</t>
  </si>
  <si>
    <t>FRU22</t>
  </si>
  <si>
    <t>Zeste Semoule Orange 500gr</t>
  </si>
  <si>
    <t>Cond</t>
  </si>
  <si>
    <t>BackEurop</t>
  </si>
  <si>
    <t>Team Ouest</t>
  </si>
  <si>
    <t>Autres</t>
  </si>
  <si>
    <t>Richard Distribution</t>
  </si>
  <si>
    <t>FOURNISSEUR SELEC</t>
  </si>
  <si>
    <t>TARIF</t>
  </si>
  <si>
    <t>BackEurop THOMAS</t>
  </si>
  <si>
    <t>10kg</t>
  </si>
  <si>
    <t>?</t>
  </si>
  <si>
    <t>Terre et marée</t>
  </si>
  <si>
    <t>TransGourmet</t>
  </si>
  <si>
    <t>TeamOuest France Frais</t>
  </si>
  <si>
    <t>PAP</t>
  </si>
  <si>
    <t>Veolia</t>
  </si>
  <si>
    <t>Minoterie Girardeau</t>
  </si>
  <si>
    <t>6kg</t>
  </si>
  <si>
    <t>5kg</t>
  </si>
  <si>
    <t>Millepieds</t>
  </si>
  <si>
    <t>Supergroup</t>
  </si>
  <si>
    <t>SCV</t>
  </si>
  <si>
    <t>2,2kg</t>
  </si>
  <si>
    <t>Coeff souhaité</t>
  </si>
  <si>
    <t>CROISSANT</t>
  </si>
  <si>
    <t>PAIN AU CHOCOLAT</t>
  </si>
  <si>
    <t>BRIOCHE</t>
  </si>
  <si>
    <t>BRIOCHE PEPITES</t>
  </si>
  <si>
    <t>Prix au kilo</t>
  </si>
  <si>
    <t>Quantité</t>
  </si>
  <si>
    <t>pour 62</t>
  </si>
  <si>
    <t xml:space="preserve">pour un paton </t>
  </si>
  <si>
    <t>pour 4</t>
  </si>
  <si>
    <t>pour 4,73</t>
  </si>
  <si>
    <t>pour 1</t>
  </si>
  <si>
    <t>Vendu TTC</t>
  </si>
  <si>
    <t>Vendu HT</t>
  </si>
  <si>
    <t>Coef</t>
  </si>
  <si>
    <t>BRIOCHETTE</t>
  </si>
  <si>
    <t>GRANDE VIENNOISE</t>
  </si>
  <si>
    <t>VIENNOISE PEPITE</t>
  </si>
  <si>
    <t>VIENNOISE NATURE</t>
  </si>
  <si>
    <t>pour 25</t>
  </si>
  <si>
    <t>pour 44,72</t>
  </si>
  <si>
    <t>pour 56</t>
  </si>
  <si>
    <t>pour 112</t>
  </si>
  <si>
    <t>TORSADE</t>
  </si>
  <si>
    <t>PAIN AU RAISIN</t>
  </si>
  <si>
    <t>pour 50</t>
  </si>
  <si>
    <t>PAIN BURGER</t>
  </si>
  <si>
    <t>PAIN DE MIE</t>
  </si>
  <si>
    <t>SABLEE FOURREE</t>
  </si>
  <si>
    <t>GALETTE CHARENTAISE</t>
  </si>
  <si>
    <t>pour 40</t>
  </si>
  <si>
    <t>pour 31,36</t>
  </si>
  <si>
    <t>pour 9,44</t>
  </si>
  <si>
    <t>Mini</t>
  </si>
  <si>
    <t>COOKIE</t>
  </si>
  <si>
    <t>COOKIE PISTACHE</t>
  </si>
  <si>
    <t>CHOUQUETTE</t>
  </si>
  <si>
    <t>BOTTEREAUX</t>
  </si>
  <si>
    <t>pour 150</t>
  </si>
  <si>
    <t>pour 120</t>
  </si>
  <si>
    <t>pour 2100</t>
  </si>
  <si>
    <t>pour 111,75</t>
  </si>
  <si>
    <t>25 € TTC vente</t>
  </si>
  <si>
    <t>MINI COOKIE</t>
  </si>
  <si>
    <t>Rocher coco</t>
  </si>
  <si>
    <t>Mini meringue</t>
  </si>
  <si>
    <t>SABLEE BRETON</t>
  </si>
  <si>
    <t>pour 10+Sachet</t>
  </si>
  <si>
    <t>PAIN COMPLET</t>
  </si>
  <si>
    <t>TRADITION</t>
  </si>
  <si>
    <t>TRADIGRAINE</t>
  </si>
  <si>
    <t>pour 5,3</t>
  </si>
  <si>
    <t>pour 7,15</t>
  </si>
  <si>
    <t>pour 7,22</t>
  </si>
  <si>
    <t>FLAN</t>
  </si>
  <si>
    <t>TARTELETTE Abricot</t>
  </si>
  <si>
    <t>Falette Grangipane</t>
  </si>
  <si>
    <t>TARTELETTE POMME</t>
  </si>
  <si>
    <t>Fèves 2024</t>
  </si>
  <si>
    <t>pour 8</t>
  </si>
  <si>
    <t>Tartelette Citron meringué</t>
  </si>
  <si>
    <t>Tartelette chocolat caramel</t>
  </si>
  <si>
    <t>Mangue passion</t>
  </si>
  <si>
    <t>Pour 60</t>
  </si>
  <si>
    <t>pour 60</t>
  </si>
  <si>
    <t>pour 65</t>
  </si>
  <si>
    <t>Fruit rouge vanille</t>
  </si>
  <si>
    <t>Eclair chocolat</t>
  </si>
  <si>
    <t>Snickers</t>
  </si>
  <si>
    <t>Pour 108</t>
  </si>
  <si>
    <t>Pour 400</t>
  </si>
  <si>
    <t>Pour 54</t>
  </si>
  <si>
    <t>JAMBON BEURRE EMMENTAL</t>
  </si>
  <si>
    <t>COMPLET POULET</t>
  </si>
  <si>
    <t>COMPLET THON</t>
  </si>
  <si>
    <t>COMPLET JAMBON</t>
  </si>
  <si>
    <t>Marge	74,32092787</t>
  </si>
  <si>
    <t>WRAP POULET</t>
  </si>
  <si>
    <t>WRAP VEGE</t>
  </si>
  <si>
    <t>Wrap Thon</t>
  </si>
  <si>
    <t>Salade Poulet Pané</t>
  </si>
  <si>
    <t>Actuel</t>
  </si>
  <si>
    <t>Tarif TTC</t>
  </si>
  <si>
    <t>Salade végé</t>
  </si>
  <si>
    <t>Salade Lardon</t>
  </si>
  <si>
    <t>Salade Melon</t>
  </si>
  <si>
    <t>Salade Pate thon</t>
  </si>
  <si>
    <t>Tacos Steak</t>
  </si>
  <si>
    <t>Burger La Pause</t>
  </si>
  <si>
    <t>Burger Poulet</t>
  </si>
  <si>
    <t>Tacos Poulet</t>
  </si>
  <si>
    <t>Prix actuel</t>
  </si>
  <si>
    <t>Americain La Pause</t>
  </si>
  <si>
    <t>Blabla</t>
  </si>
  <si>
    <t>LEVAIN DUR</t>
  </si>
  <si>
    <t>PATE VIENNOISE</t>
  </si>
  <si>
    <t>PATE FERMENTEE VIENNOISE</t>
  </si>
  <si>
    <t>CREME PATISSIERE</t>
  </si>
  <si>
    <t>pour 3</t>
  </si>
  <si>
    <t>pour 3,485</t>
  </si>
  <si>
    <t>pour 1,44</t>
  </si>
  <si>
    <t>PATE FERMENTE</t>
  </si>
  <si>
    <t>FEUILLETAGE</t>
  </si>
  <si>
    <t>PATE A CHOUX ECLAIR</t>
  </si>
  <si>
    <t>CREME PATISSIERE CHOCOLAT</t>
  </si>
  <si>
    <t>pour 1,70</t>
  </si>
  <si>
    <t>pour 114,6</t>
  </si>
  <si>
    <t>pour 420</t>
  </si>
  <si>
    <t>FONDANT CHOCOLAT</t>
  </si>
  <si>
    <t>Ganache montee</t>
  </si>
  <si>
    <t>Cookie</t>
  </si>
  <si>
    <t>pour 54,499</t>
  </si>
  <si>
    <t>pour 10,75kg</t>
  </si>
  <si>
    <t>Eclair au chocolat</t>
  </si>
  <si>
    <t xml:space="preserve">Biscuit de Noël </t>
  </si>
  <si>
    <t xml:space="preserve">Rose des sables </t>
  </si>
  <si>
    <t>Caissette Eclair 1201F70</t>
  </si>
  <si>
    <t>pour 2,25</t>
  </si>
  <si>
    <t>BOMBAY</t>
  </si>
  <si>
    <t>DOUCEUR DES PRAIRIES</t>
  </si>
  <si>
    <t>BERGER</t>
  </si>
  <si>
    <t>BURGER POULET</t>
  </si>
  <si>
    <t>Jambon Salaisons olonne</t>
  </si>
  <si>
    <t>Cheddar</t>
  </si>
  <si>
    <t>WRAP THON</t>
  </si>
  <si>
    <t>SALADE JAMBON</t>
  </si>
  <si>
    <t>Boîte 23*8 Gaufrage</t>
  </si>
  <si>
    <t>Boîte 18*8</t>
  </si>
  <si>
    <t>Boîte 20*8</t>
  </si>
  <si>
    <t>Boîte 23*8</t>
  </si>
  <si>
    <t>Boîte 26*8</t>
  </si>
  <si>
    <t>Boîte 29*8</t>
  </si>
  <si>
    <t>Boîtage</t>
  </si>
  <si>
    <t>Sachets</t>
  </si>
  <si>
    <t>Taille 4</t>
  </si>
  <si>
    <t>Taille 6</t>
  </si>
  <si>
    <t>Taille 7</t>
  </si>
  <si>
    <t>Mousseline</t>
  </si>
  <si>
    <t>Mouss 20*30</t>
  </si>
  <si>
    <t>Mouss 30*40</t>
  </si>
  <si>
    <t>Mouss 40*60</t>
  </si>
  <si>
    <t>Baguette</t>
  </si>
  <si>
    <t>100*60</t>
  </si>
  <si>
    <t>140*60</t>
  </si>
  <si>
    <t>260*75</t>
  </si>
  <si>
    <t>Sandwich Plastifié</t>
  </si>
  <si>
    <t>Stock</t>
  </si>
  <si>
    <t>Conso N</t>
  </si>
  <si>
    <t>Conso N-1</t>
  </si>
  <si>
    <t>Lait entier</t>
  </si>
  <si>
    <t>Beurre tartinable 1kg</t>
  </si>
  <si>
    <t xml:space="preserve">Paris-brest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</si>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</sst>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  <numFmt numFmtId="165" formatCode="#,##0.00\ &quot;€&quot;"/>
    <numFmt numFmtId="166" formatCode="_-* #,##0.000\ [$€-40C]_-;\-* #,##0.000\ [$€-40C]_-;_-* &quot;-&quot;??\ [$€-40C]_-;_-@_-"/>
    <numFmt numFmtId="167" formatCode="_-* #,##0.0000\ [$€-40C]_-;\-* #,##0.0000\ [$€-40C]_-;_-* &quot;-&quot;??\ [$€-40C]_-;_-@_-"/>
    <numFmt numFmtId="168" formatCode="0.00000"/>
    <numFmt numFmtId="169" formatCode="_-* #,##0.0000\ &quot;€&quot;_-;\-* #,##0.0000\ &quot;€&quot;_-;_-* &quot;-&quot;??\ &quot;€&quot;_-;_-@_-"/>
    <numFmt numFmtId="170" formatCode="_-* #,##0.000\ &quot;€&quot;_-;\-* #,##0.000\ &quot;€&quot;_-;_-* &quot;-&quot;???\ &quot;€&quot;_-;_-@_-"/>
    <numFmt numFmtId="171" formatCode="_-* #,##0.000\ &quot;€&quot;_-;\-* #,##0.0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 val="singleAccounting"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name val="Yu Gothic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D6F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5A3A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4">
    <xf numFmtId="0" fontId="0" fillId="0" borderId="0" xfId="0"/>
    <xf numFmtId="44" fontId="0" fillId="0" borderId="0" xfId="1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44" fontId="0" fillId="0" borderId="1" xfId="1" applyFont="1" applyBorder="1"/>
    <xf numFmtId="0" fontId="0" fillId="0" borderId="2" xfId="0" applyBorder="1" applyAlignment="1">
      <alignment horizontal="center" vertical="center"/>
    </xf>
    <xf numFmtId="44" fontId="0" fillId="0" borderId="0" xfId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44" fontId="0" fillId="0" borderId="7" xfId="0" applyNumberFormat="1" applyBorder="1"/>
    <xf numFmtId="44" fontId="0" fillId="0" borderId="7" xfId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8" fillId="0" borderId="7" xfId="0" applyNumberFormat="1" applyFont="1" applyBorder="1" applyAlignment="1">
      <alignment horizontal="center" vertical="center"/>
    </xf>
    <xf numFmtId="44" fontId="0" fillId="0" borderId="1" xfId="0" applyNumberFormat="1" applyBorder="1"/>
    <xf numFmtId="0" fontId="0" fillId="0" borderId="11" xfId="0" applyBorder="1"/>
    <xf numFmtId="44" fontId="0" fillId="0" borderId="12" xfId="0" applyNumberFormat="1" applyBorder="1"/>
    <xf numFmtId="0" fontId="0" fillId="8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8" borderId="3" xfId="0" applyFill="1" applyBorder="1"/>
    <xf numFmtId="0" fontId="0" fillId="8" borderId="5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44" fontId="0" fillId="3" borderId="0" xfId="1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44" fontId="0" fillId="3" borderId="1" xfId="1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44" fontId="0" fillId="4" borderId="1" xfId="1" applyFont="1" applyFill="1" applyBorder="1" applyAlignment="1">
      <alignment vertical="center"/>
    </xf>
    <xf numFmtId="44" fontId="0" fillId="4" borderId="0" xfId="1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44" fontId="0" fillId="2" borderId="1" xfId="1" applyFont="1" applyFill="1" applyBorder="1" applyAlignment="1">
      <alignment vertical="center"/>
    </xf>
    <xf numFmtId="44" fontId="0" fillId="2" borderId="0" xfId="1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1" xfId="0" applyFill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44" fontId="0" fillId="6" borderId="1" xfId="1" applyFont="1" applyFill="1" applyBorder="1" applyAlignment="1">
      <alignment vertical="center"/>
    </xf>
    <xf numFmtId="44" fontId="0" fillId="6" borderId="0" xfId="1" applyFont="1" applyFill="1" applyAlignment="1">
      <alignment vertical="center"/>
    </xf>
    <xf numFmtId="165" fontId="0" fillId="2" borderId="1" xfId="1" applyNumberFormat="1" applyFont="1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1" xfId="0" applyFill="1" applyBorder="1" applyAlignment="1">
      <alignment vertical="center"/>
    </xf>
    <xf numFmtId="164" fontId="0" fillId="7" borderId="1" xfId="0" applyNumberFormat="1" applyFill="1" applyBorder="1" applyAlignment="1">
      <alignment vertical="center"/>
    </xf>
    <xf numFmtId="44" fontId="0" fillId="7" borderId="1" xfId="1" applyFont="1" applyFill="1" applyBorder="1" applyAlignment="1">
      <alignment vertical="center"/>
    </xf>
    <xf numFmtId="44" fontId="0" fillId="7" borderId="0" xfId="1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44" fontId="0" fillId="5" borderId="1" xfId="1" applyFont="1" applyFill="1" applyBorder="1" applyAlignment="1">
      <alignment vertical="center"/>
    </xf>
    <xf numFmtId="44" fontId="0" fillId="5" borderId="0" xfId="1" applyFont="1" applyFill="1" applyAlignment="1">
      <alignment vertical="center"/>
    </xf>
    <xf numFmtId="0" fontId="0" fillId="8" borderId="0" xfId="0" applyFill="1" applyAlignment="1">
      <alignment vertical="center"/>
    </xf>
    <xf numFmtId="0" fontId="0" fillId="8" borderId="1" xfId="0" applyFill="1" applyBorder="1" applyAlignment="1">
      <alignment vertical="center"/>
    </xf>
    <xf numFmtId="164" fontId="0" fillId="8" borderId="1" xfId="0" applyNumberFormat="1" applyFill="1" applyBorder="1" applyAlignment="1">
      <alignment vertical="center"/>
    </xf>
    <xf numFmtId="44" fontId="0" fillId="8" borderId="1" xfId="1" applyFont="1" applyFill="1" applyBorder="1" applyAlignment="1">
      <alignment vertical="center"/>
    </xf>
    <xf numFmtId="44" fontId="0" fillId="8" borderId="0" xfId="1" applyFont="1" applyFill="1" applyAlignment="1">
      <alignment vertical="center"/>
    </xf>
    <xf numFmtId="44" fontId="0" fillId="0" borderId="0" xfId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44" fontId="0" fillId="0" borderId="7" xfId="1" applyFont="1" applyFill="1" applyBorder="1"/>
    <xf numFmtId="0" fontId="0" fillId="8" borderId="1" xfId="0" applyFill="1" applyBorder="1" applyAlignment="1">
      <alignment horizontal="center"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44" fontId="0" fillId="9" borderId="0" xfId="1" applyFont="1" applyFill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vertical="center"/>
    </xf>
    <xf numFmtId="44" fontId="0" fillId="9" borderId="1" xfId="1" applyFont="1" applyFill="1" applyBorder="1" applyAlignment="1">
      <alignment vertical="center"/>
    </xf>
    <xf numFmtId="0" fontId="0" fillId="10" borderId="6" xfId="0" applyFill="1" applyBorder="1"/>
    <xf numFmtId="0" fontId="0" fillId="0" borderId="6" xfId="0" applyBorder="1" applyAlignment="1">
      <alignment horizontal="right"/>
    </xf>
    <xf numFmtId="10" fontId="0" fillId="0" borderId="10" xfId="0" applyNumberFormat="1" applyBorder="1"/>
    <xf numFmtId="0" fontId="0" fillId="11" borderId="0" xfId="0" applyFill="1" applyAlignment="1">
      <alignment vertical="center"/>
    </xf>
    <xf numFmtId="0" fontId="0" fillId="11" borderId="0" xfId="0" applyFill="1" applyAlignment="1">
      <alignment horizontal="center" vertical="center"/>
    </xf>
    <xf numFmtId="44" fontId="0" fillId="11" borderId="0" xfId="1" applyFont="1" applyFill="1" applyAlignment="1">
      <alignment vertical="center"/>
    </xf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164" fontId="0" fillId="11" borderId="1" xfId="0" applyNumberFormat="1" applyFill="1" applyBorder="1" applyAlignment="1">
      <alignment vertical="center"/>
    </xf>
    <xf numFmtId="44" fontId="0" fillId="11" borderId="1" xfId="1" applyFont="1" applyFill="1" applyBorder="1" applyAlignment="1">
      <alignment vertical="center"/>
    </xf>
    <xf numFmtId="167" fontId="0" fillId="3" borderId="1" xfId="0" applyNumberFormat="1" applyFill="1" applyBorder="1" applyAlignment="1">
      <alignment vertical="center"/>
    </xf>
    <xf numFmtId="167" fontId="0" fillId="3" borderId="1" xfId="1" applyNumberFormat="1" applyFont="1" applyFill="1" applyBorder="1" applyAlignment="1">
      <alignment vertical="center"/>
    </xf>
    <xf numFmtId="0" fontId="0" fillId="12" borderId="0" xfId="0" applyFill="1" applyAlignment="1">
      <alignment vertical="center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164" fontId="0" fillId="12" borderId="1" xfId="0" applyNumberFormat="1" applyFill="1" applyBorder="1" applyAlignment="1">
      <alignment vertical="center"/>
    </xf>
    <xf numFmtId="44" fontId="0" fillId="12" borderId="1" xfId="1" applyFont="1" applyFill="1" applyBorder="1" applyAlignment="1">
      <alignment vertical="center"/>
    </xf>
    <xf numFmtId="0" fontId="0" fillId="12" borderId="0" xfId="0" applyFill="1" applyAlignment="1">
      <alignment horizontal="center" vertical="center"/>
    </xf>
    <xf numFmtId="44" fontId="0" fillId="12" borderId="0" xfId="1" applyFont="1" applyFill="1" applyAlignment="1">
      <alignment vertical="center"/>
    </xf>
    <xf numFmtId="167" fontId="0" fillId="12" borderId="1" xfId="0" applyNumberFormat="1" applyFill="1" applyBorder="1" applyAlignment="1">
      <alignment vertical="center"/>
    </xf>
    <xf numFmtId="168" fontId="0" fillId="12" borderId="1" xfId="1" applyNumberFormat="1" applyFont="1" applyFill="1" applyBorder="1" applyAlignment="1">
      <alignment vertical="center"/>
    </xf>
    <xf numFmtId="169" fontId="0" fillId="12" borderId="1" xfId="1" applyNumberFormat="1" applyFont="1" applyFill="1" applyBorder="1" applyAlignment="1">
      <alignment vertical="center"/>
    </xf>
    <xf numFmtId="167" fontId="0" fillId="12" borderId="1" xfId="1" applyNumberFormat="1" applyFont="1" applyFill="1" applyBorder="1" applyAlignment="1">
      <alignment vertical="center"/>
    </xf>
    <xf numFmtId="166" fontId="0" fillId="12" borderId="1" xfId="0" applyNumberFormat="1" applyFill="1" applyBorder="1" applyAlignment="1">
      <alignment vertical="center"/>
    </xf>
    <xf numFmtId="0" fontId="0" fillId="6" borderId="0" xfId="0" applyFill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44" fontId="0" fillId="0" borderId="1" xfId="1" applyFont="1" applyFill="1" applyBorder="1" applyAlignment="1">
      <alignment vertical="center"/>
    </xf>
    <xf numFmtId="44" fontId="0" fillId="0" borderId="0" xfId="1" applyFont="1" applyFill="1" applyAlignment="1">
      <alignment vertical="center"/>
    </xf>
    <xf numFmtId="0" fontId="0" fillId="12" borderId="1" xfId="1" applyNumberFormat="1" applyFont="1" applyFill="1" applyBorder="1" applyAlignment="1">
      <alignment vertical="center"/>
    </xf>
    <xf numFmtId="166" fontId="0" fillId="3" borderId="1" xfId="0" applyNumberFormat="1" applyFill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0" fillId="0" borderId="15" xfId="0" applyBorder="1"/>
    <xf numFmtId="44" fontId="10" fillId="0" borderId="1" xfId="1" applyFont="1" applyBorder="1" applyAlignment="1">
      <alignment horizontal="center" vertical="center"/>
    </xf>
    <xf numFmtId="8" fontId="0" fillId="3" borderId="1" xfId="0" applyNumberFormat="1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164" fontId="0" fillId="6" borderId="1" xfId="0" applyNumberFormat="1" applyFill="1" applyBorder="1"/>
    <xf numFmtId="44" fontId="0" fillId="6" borderId="1" xfId="1" applyFont="1" applyFill="1" applyBorder="1"/>
    <xf numFmtId="8" fontId="0" fillId="0" borderId="1" xfId="0" applyNumberFormat="1" applyBorder="1"/>
    <xf numFmtId="0" fontId="0" fillId="2" borderId="0" xfId="0" applyFill="1"/>
    <xf numFmtId="164" fontId="0" fillId="2" borderId="1" xfId="0" applyNumberFormat="1" applyFill="1" applyBorder="1"/>
    <xf numFmtId="44" fontId="0" fillId="2" borderId="1" xfId="1" applyFont="1" applyFill="1" applyBorder="1"/>
    <xf numFmtId="44" fontId="0" fillId="2" borderId="0" xfId="1" applyFont="1" applyFill="1"/>
    <xf numFmtId="44" fontId="0" fillId="0" borderId="1" xfId="1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44" fontId="0" fillId="0" borderId="6" xfId="1" applyFont="1" applyBorder="1"/>
    <xf numFmtId="44" fontId="0" fillId="0" borderId="8" xfId="1" applyFont="1" applyBorder="1"/>
    <xf numFmtId="44" fontId="0" fillId="0" borderId="9" xfId="1" applyFont="1" applyBorder="1"/>
    <xf numFmtId="44" fontId="0" fillId="0" borderId="10" xfId="1" applyFont="1" applyBorder="1"/>
    <xf numFmtId="0" fontId="11" fillId="4" borderId="0" xfId="0" applyFont="1" applyFill="1" applyAlignment="1">
      <alignment vertical="center"/>
    </xf>
    <xf numFmtId="0" fontId="11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vertical="center"/>
    </xf>
    <xf numFmtId="44" fontId="11" fillId="4" borderId="1" xfId="1" applyFont="1" applyFill="1" applyBorder="1" applyAlignment="1">
      <alignment vertical="center"/>
    </xf>
    <xf numFmtId="0" fontId="11" fillId="4" borderId="0" xfId="0" applyFont="1" applyFill="1" applyAlignment="1">
      <alignment horizontal="center" vertical="center"/>
    </xf>
    <xf numFmtId="44" fontId="11" fillId="4" borderId="0" xfId="1" applyFont="1" applyFill="1" applyAlignment="1">
      <alignment vertical="center"/>
    </xf>
    <xf numFmtId="0" fontId="12" fillId="0" borderId="0" xfId="0" applyFont="1"/>
    <xf numFmtId="0" fontId="0" fillId="13" borderId="0" xfId="0" applyFill="1" applyAlignment="1">
      <alignment vertical="center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164" fontId="0" fillId="13" borderId="1" xfId="0" applyNumberFormat="1" applyFill="1" applyBorder="1" applyAlignment="1">
      <alignment vertical="center"/>
    </xf>
    <xf numFmtId="44" fontId="0" fillId="13" borderId="1" xfId="1" applyFont="1" applyFill="1" applyBorder="1" applyAlignment="1">
      <alignment vertical="center"/>
    </xf>
    <xf numFmtId="0" fontId="0" fillId="13" borderId="0" xfId="0" applyFill="1" applyAlignment="1">
      <alignment horizontal="center" vertical="center"/>
    </xf>
    <xf numFmtId="44" fontId="0" fillId="13" borderId="0" xfId="1" applyFont="1" applyFill="1" applyAlignment="1">
      <alignment vertical="center"/>
    </xf>
    <xf numFmtId="44" fontId="0" fillId="12" borderId="1" xfId="1" applyFont="1" applyFill="1" applyBorder="1" applyAlignment="1">
      <alignment horizontal="center" vertical="center"/>
    </xf>
    <xf numFmtId="170" fontId="0" fillId="0" borderId="7" xfId="1" applyNumberFormat="1" applyFont="1" applyBorder="1"/>
    <xf numFmtId="44" fontId="0" fillId="0" borderId="0" xfId="0" applyNumberFormat="1"/>
    <xf numFmtId="44" fontId="0" fillId="0" borderId="2" xfId="0" applyNumberFormat="1" applyBorder="1"/>
    <xf numFmtId="44" fontId="0" fillId="0" borderId="19" xfId="0" applyNumberFormat="1" applyBorder="1"/>
    <xf numFmtId="44" fontId="0" fillId="0" borderId="20" xfId="0" applyNumberFormat="1" applyBorder="1"/>
    <xf numFmtId="44" fontId="8" fillId="0" borderId="0" xfId="1" applyFont="1" applyFill="1" applyAlignment="1">
      <alignment horizontal="center" vertical="center"/>
    </xf>
    <xf numFmtId="44" fontId="0" fillId="0" borderId="0" xfId="1" applyFont="1" applyFill="1"/>
    <xf numFmtId="0" fontId="0" fillId="0" borderId="1" xfId="0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44" fontId="11" fillId="0" borderId="0" xfId="1" applyFont="1" applyFill="1" applyAlignment="1">
      <alignment vertical="center"/>
    </xf>
    <xf numFmtId="171" fontId="0" fillId="12" borderId="1" xfId="1" applyNumberFormat="1" applyFont="1" applyFill="1" applyBorder="1" applyAlignment="1">
      <alignment vertical="center"/>
    </xf>
    <xf numFmtId="167" fontId="0" fillId="4" borderId="1" xfId="0" applyNumberFormat="1" applyFill="1" applyBorder="1" applyAlignment="1">
      <alignment vertical="center"/>
    </xf>
    <xf numFmtId="167" fontId="0" fillId="4" borderId="1" xfId="1" applyNumberFormat="1" applyFont="1" applyFill="1" applyBorder="1" applyAlignment="1">
      <alignment vertical="center"/>
    </xf>
    <xf numFmtId="165" fontId="0" fillId="3" borderId="1" xfId="1" applyNumberFormat="1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219"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24444"/>
        </patternFill>
      </fill>
    </dxf>
    <dxf>
      <font>
        <color auto="1"/>
      </font>
      <fill>
        <patternFill>
          <bgColor rgb="FFF1D299"/>
        </patternFill>
      </fill>
    </dxf>
    <dxf>
      <font>
        <color auto="1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CCCCFF"/>
      <color rgb="FFF5A3A3"/>
      <color rgb="FFFAD6FB"/>
      <color rgb="FFF1D299"/>
      <color rgb="FFF244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7F81-9755-4196-BE65-32FF3FA9DCC6}">
  <dimension ref="A1:G342"/>
  <sheetViews>
    <sheetView topLeftCell="A2" workbookViewId="0">
      <selection activeCell="K19" sqref="K19"/>
    </sheetView>
  </sheetViews>
  <sheetFormatPr baseColWidth="10" defaultColWidth="10.7109375" defaultRowHeight="15" x14ac:dyDescent="0.25"/>
  <cols>
    <col min="1" max="1" width="13.28515625" style="9" customWidth="1"/>
  </cols>
  <sheetData>
    <row r="1" spans="1:7" ht="20.25" customHeight="1" x14ac:dyDescent="0.25">
      <c r="B1" s="177" t="s">
        <v>1</v>
      </c>
      <c r="C1" s="178"/>
      <c r="D1" s="179"/>
      <c r="E1" s="177" t="s">
        <v>2</v>
      </c>
      <c r="F1" s="178"/>
      <c r="G1" s="179"/>
    </row>
    <row r="2" spans="1:7" ht="20.25" customHeight="1" x14ac:dyDescent="0.25">
      <c r="B2" s="136" t="s">
        <v>3</v>
      </c>
      <c r="C2" s="79" t="s">
        <v>4</v>
      </c>
      <c r="D2" s="137" t="s">
        <v>5</v>
      </c>
      <c r="E2" s="136" t="s">
        <v>3</v>
      </c>
      <c r="F2" s="79" t="s">
        <v>4</v>
      </c>
      <c r="G2" s="137" t="s">
        <v>5</v>
      </c>
    </row>
    <row r="3" spans="1:7" x14ac:dyDescent="0.25">
      <c r="A3" s="138">
        <v>45576</v>
      </c>
      <c r="B3" s="139"/>
      <c r="C3" s="7"/>
      <c r="D3" s="27"/>
      <c r="E3" s="139"/>
      <c r="F3" s="7">
        <v>10.49</v>
      </c>
      <c r="G3" s="27"/>
    </row>
    <row r="4" spans="1:7" x14ac:dyDescent="0.25">
      <c r="A4" s="138">
        <v>45572</v>
      </c>
      <c r="B4" s="139">
        <v>9.1999999999999993</v>
      </c>
      <c r="C4" s="7"/>
      <c r="D4" s="27"/>
      <c r="E4" s="139">
        <v>11.13</v>
      </c>
      <c r="F4" s="7"/>
      <c r="G4" s="27"/>
    </row>
    <row r="5" spans="1:7" x14ac:dyDescent="0.25">
      <c r="A5" s="138">
        <v>45586</v>
      </c>
      <c r="B5" s="139">
        <v>8.3000000000000007</v>
      </c>
      <c r="C5" s="7">
        <v>9.89</v>
      </c>
      <c r="D5" s="27">
        <v>8.82</v>
      </c>
      <c r="E5" s="139">
        <v>11.31</v>
      </c>
      <c r="F5" s="7">
        <v>10.49</v>
      </c>
      <c r="G5" s="27">
        <v>8.9499999999999993</v>
      </c>
    </row>
    <row r="6" spans="1:7" x14ac:dyDescent="0.25">
      <c r="A6" s="138">
        <v>45583</v>
      </c>
      <c r="B6" s="139">
        <v>9.1999999999999993</v>
      </c>
      <c r="C6" s="7"/>
      <c r="D6" s="27"/>
      <c r="E6" s="139"/>
      <c r="F6" s="7"/>
      <c r="G6" s="27"/>
    </row>
    <row r="7" spans="1:7" x14ac:dyDescent="0.25">
      <c r="A7" s="138">
        <v>45565</v>
      </c>
      <c r="B7" s="139"/>
      <c r="C7" s="7">
        <v>8.92</v>
      </c>
      <c r="D7" s="27"/>
      <c r="E7" s="139"/>
      <c r="F7" s="7">
        <v>9.2799999999999994</v>
      </c>
      <c r="G7" s="27"/>
    </row>
    <row r="8" spans="1:7" x14ac:dyDescent="0.25">
      <c r="A8" s="138">
        <v>45575</v>
      </c>
      <c r="B8" s="139"/>
      <c r="C8" s="7">
        <v>9.89</v>
      </c>
      <c r="D8" s="27"/>
      <c r="E8" s="139"/>
      <c r="F8" s="7">
        <v>10.49</v>
      </c>
      <c r="G8" s="27">
        <v>8.9499999999999993</v>
      </c>
    </row>
    <row r="9" spans="1:7" x14ac:dyDescent="0.25">
      <c r="A9" s="138">
        <v>45568</v>
      </c>
      <c r="B9" s="139"/>
      <c r="C9" s="7"/>
      <c r="D9" s="27"/>
      <c r="E9" s="139"/>
      <c r="F9" s="7"/>
      <c r="G9" s="27">
        <v>9.8989999999999991</v>
      </c>
    </row>
    <row r="10" spans="1:7" x14ac:dyDescent="0.25">
      <c r="A10" s="138">
        <v>45572</v>
      </c>
      <c r="B10" s="139"/>
      <c r="C10" s="7"/>
      <c r="D10" s="27">
        <v>8.9239999999999995</v>
      </c>
      <c r="E10" s="139"/>
      <c r="F10" s="7">
        <v>9.2799999999999994</v>
      </c>
      <c r="G10" s="27"/>
    </row>
    <row r="11" spans="1:7" x14ac:dyDescent="0.25">
      <c r="B11" s="139"/>
      <c r="C11" s="7"/>
      <c r="D11" s="27"/>
      <c r="E11" s="139"/>
      <c r="F11" s="7"/>
      <c r="G11" s="27"/>
    </row>
    <row r="12" spans="1:7" x14ac:dyDescent="0.25">
      <c r="B12" s="139"/>
      <c r="C12" s="7"/>
      <c r="D12" s="27"/>
      <c r="E12" s="139"/>
      <c r="F12" s="7"/>
      <c r="G12" s="27"/>
    </row>
    <row r="13" spans="1:7" x14ac:dyDescent="0.25">
      <c r="B13" s="139"/>
      <c r="C13" s="7"/>
      <c r="D13" s="27"/>
      <c r="E13" s="139"/>
      <c r="F13" s="7"/>
      <c r="G13" s="27"/>
    </row>
    <row r="14" spans="1:7" x14ac:dyDescent="0.25">
      <c r="B14" s="139"/>
      <c r="C14" s="7"/>
      <c r="D14" s="27"/>
      <c r="E14" s="139"/>
      <c r="F14" s="7"/>
      <c r="G14" s="27"/>
    </row>
    <row r="15" spans="1:7" x14ac:dyDescent="0.25">
      <c r="B15" s="139"/>
      <c r="C15" s="7"/>
      <c r="D15" s="27"/>
      <c r="E15" s="139"/>
      <c r="F15" s="7"/>
      <c r="G15" s="27"/>
    </row>
    <row r="16" spans="1:7" x14ac:dyDescent="0.25">
      <c r="B16" s="139"/>
      <c r="C16" s="7"/>
      <c r="D16" s="27"/>
      <c r="E16" s="139"/>
      <c r="F16" s="7"/>
      <c r="G16" s="27"/>
    </row>
    <row r="17" spans="2:7" x14ac:dyDescent="0.25">
      <c r="B17" s="139"/>
      <c r="C17" s="7"/>
      <c r="D17" s="27"/>
      <c r="E17" s="139"/>
      <c r="F17" s="7"/>
      <c r="G17" s="27"/>
    </row>
    <row r="18" spans="2:7" x14ac:dyDescent="0.25">
      <c r="B18" s="139"/>
      <c r="C18" s="7"/>
      <c r="D18" s="27"/>
      <c r="E18" s="139"/>
      <c r="F18" s="7"/>
      <c r="G18" s="27"/>
    </row>
    <row r="19" spans="2:7" x14ac:dyDescent="0.25">
      <c r="B19" s="139"/>
      <c r="C19" s="7"/>
      <c r="D19" s="27"/>
      <c r="E19" s="139"/>
      <c r="F19" s="7"/>
      <c r="G19" s="27"/>
    </row>
    <row r="20" spans="2:7" x14ac:dyDescent="0.25">
      <c r="B20" s="139"/>
      <c r="C20" s="7"/>
      <c r="D20" s="27"/>
      <c r="E20" s="139"/>
      <c r="F20" s="7"/>
      <c r="G20" s="27"/>
    </row>
    <row r="21" spans="2:7" x14ac:dyDescent="0.25">
      <c r="B21" s="139"/>
      <c r="C21" s="7"/>
      <c r="D21" s="27"/>
      <c r="E21" s="139"/>
      <c r="F21" s="7"/>
      <c r="G21" s="27"/>
    </row>
    <row r="22" spans="2:7" x14ac:dyDescent="0.25">
      <c r="B22" s="139"/>
      <c r="C22" s="7"/>
      <c r="D22" s="27"/>
      <c r="E22" s="139"/>
      <c r="F22" s="7"/>
      <c r="G22" s="27"/>
    </row>
    <row r="23" spans="2:7" x14ac:dyDescent="0.25">
      <c r="B23" s="139"/>
      <c r="C23" s="7"/>
      <c r="D23" s="27"/>
      <c r="E23" s="139"/>
      <c r="F23" s="7"/>
      <c r="G23" s="27"/>
    </row>
    <row r="24" spans="2:7" x14ac:dyDescent="0.25">
      <c r="B24" s="139"/>
      <c r="C24" s="7"/>
      <c r="D24" s="27"/>
      <c r="E24" s="139"/>
      <c r="F24" s="7"/>
      <c r="G24" s="27"/>
    </row>
    <row r="25" spans="2:7" x14ac:dyDescent="0.25">
      <c r="B25" s="139"/>
      <c r="C25" s="7"/>
      <c r="D25" s="27"/>
      <c r="E25" s="139"/>
      <c r="F25" s="7"/>
      <c r="G25" s="27"/>
    </row>
    <row r="26" spans="2:7" x14ac:dyDescent="0.25">
      <c r="B26" s="139"/>
      <c r="C26" s="7"/>
      <c r="D26" s="27"/>
      <c r="E26" s="139"/>
      <c r="F26" s="7"/>
      <c r="G26" s="27"/>
    </row>
    <row r="27" spans="2:7" x14ac:dyDescent="0.25">
      <c r="B27" s="139"/>
      <c r="C27" s="7"/>
      <c r="D27" s="27"/>
      <c r="E27" s="139"/>
      <c r="F27" s="7"/>
      <c r="G27" s="27"/>
    </row>
    <row r="28" spans="2:7" x14ac:dyDescent="0.25">
      <c r="B28" s="139"/>
      <c r="C28" s="7"/>
      <c r="D28" s="27"/>
      <c r="E28" s="139"/>
      <c r="F28" s="7"/>
      <c r="G28" s="27"/>
    </row>
    <row r="29" spans="2:7" x14ac:dyDescent="0.25">
      <c r="B29" s="139"/>
      <c r="C29" s="7"/>
      <c r="D29" s="27"/>
      <c r="E29" s="139"/>
      <c r="F29" s="7"/>
      <c r="G29" s="27"/>
    </row>
    <row r="30" spans="2:7" x14ac:dyDescent="0.25">
      <c r="B30" s="139"/>
      <c r="C30" s="7"/>
      <c r="D30" s="27"/>
      <c r="E30" s="139"/>
      <c r="F30" s="7"/>
      <c r="G30" s="27"/>
    </row>
    <row r="31" spans="2:7" x14ac:dyDescent="0.25">
      <c r="B31" s="139"/>
      <c r="C31" s="7"/>
      <c r="D31" s="27"/>
      <c r="E31" s="139"/>
      <c r="F31" s="7"/>
      <c r="G31" s="27"/>
    </row>
    <row r="32" spans="2:7" x14ac:dyDescent="0.25">
      <c r="B32" s="139"/>
      <c r="C32" s="7"/>
      <c r="D32" s="27"/>
      <c r="E32" s="139"/>
      <c r="F32" s="7"/>
      <c r="G32" s="27"/>
    </row>
    <row r="33" spans="2:7" x14ac:dyDescent="0.25">
      <c r="B33" s="139"/>
      <c r="C33" s="7"/>
      <c r="D33" s="27"/>
      <c r="E33" s="139"/>
      <c r="F33" s="7"/>
      <c r="G33" s="27"/>
    </row>
    <row r="34" spans="2:7" x14ac:dyDescent="0.25">
      <c r="B34" s="139"/>
      <c r="C34" s="7"/>
      <c r="D34" s="27"/>
      <c r="E34" s="139"/>
      <c r="F34" s="7"/>
      <c r="G34" s="27"/>
    </row>
    <row r="35" spans="2:7" x14ac:dyDescent="0.25">
      <c r="B35" s="139"/>
      <c r="C35" s="7"/>
      <c r="D35" s="27"/>
      <c r="E35" s="139"/>
      <c r="F35" s="7"/>
      <c r="G35" s="27"/>
    </row>
    <row r="36" spans="2:7" x14ac:dyDescent="0.25">
      <c r="B36" s="139"/>
      <c r="C36" s="7"/>
      <c r="D36" s="27"/>
      <c r="E36" s="139"/>
      <c r="F36" s="7"/>
      <c r="G36" s="27"/>
    </row>
    <row r="37" spans="2:7" x14ac:dyDescent="0.25">
      <c r="B37" s="139"/>
      <c r="C37" s="7"/>
      <c r="D37" s="27"/>
      <c r="E37" s="139"/>
      <c r="F37" s="7"/>
      <c r="G37" s="27"/>
    </row>
    <row r="38" spans="2:7" x14ac:dyDescent="0.25">
      <c r="B38" s="139"/>
      <c r="C38" s="7"/>
      <c r="D38" s="27"/>
      <c r="E38" s="139"/>
      <c r="F38" s="7"/>
      <c r="G38" s="27"/>
    </row>
    <row r="39" spans="2:7" x14ac:dyDescent="0.25">
      <c r="B39" s="139"/>
      <c r="C39" s="7"/>
      <c r="D39" s="27"/>
      <c r="E39" s="139"/>
      <c r="F39" s="7"/>
      <c r="G39" s="27"/>
    </row>
    <row r="40" spans="2:7" x14ac:dyDescent="0.25">
      <c r="B40" s="139"/>
      <c r="C40" s="7"/>
      <c r="D40" s="27"/>
      <c r="E40" s="139"/>
      <c r="F40" s="7"/>
      <c r="G40" s="27"/>
    </row>
    <row r="41" spans="2:7" x14ac:dyDescent="0.25">
      <c r="B41" s="139"/>
      <c r="C41" s="7"/>
      <c r="D41" s="27"/>
      <c r="E41" s="139"/>
      <c r="F41" s="7"/>
      <c r="G41" s="27"/>
    </row>
    <row r="42" spans="2:7" x14ac:dyDescent="0.25">
      <c r="B42" s="139"/>
      <c r="C42" s="7"/>
      <c r="D42" s="27"/>
      <c r="E42" s="139"/>
      <c r="F42" s="7"/>
      <c r="G42" s="27"/>
    </row>
    <row r="43" spans="2:7" x14ac:dyDescent="0.25">
      <c r="B43" s="139"/>
      <c r="C43" s="7"/>
      <c r="D43" s="27"/>
      <c r="E43" s="139"/>
      <c r="F43" s="7"/>
      <c r="G43" s="27"/>
    </row>
    <row r="44" spans="2:7" x14ac:dyDescent="0.25">
      <c r="B44" s="139"/>
      <c r="C44" s="7"/>
      <c r="D44" s="27"/>
      <c r="E44" s="139"/>
      <c r="F44" s="7"/>
      <c r="G44" s="27"/>
    </row>
    <row r="45" spans="2:7" x14ac:dyDescent="0.25">
      <c r="B45" s="139"/>
      <c r="C45" s="7"/>
      <c r="D45" s="27"/>
      <c r="E45" s="139"/>
      <c r="F45" s="7"/>
      <c r="G45" s="27"/>
    </row>
    <row r="46" spans="2:7" x14ac:dyDescent="0.25">
      <c r="B46" s="139"/>
      <c r="C46" s="7"/>
      <c r="D46" s="27"/>
      <c r="E46" s="139"/>
      <c r="F46" s="7"/>
      <c r="G46" s="27"/>
    </row>
    <row r="47" spans="2:7" x14ac:dyDescent="0.25">
      <c r="B47" s="139"/>
      <c r="C47" s="7"/>
      <c r="D47" s="27"/>
      <c r="E47" s="139"/>
      <c r="F47" s="7"/>
      <c r="G47" s="27"/>
    </row>
    <row r="48" spans="2:7" x14ac:dyDescent="0.25">
      <c r="B48" s="139"/>
      <c r="C48" s="7"/>
      <c r="D48" s="27"/>
      <c r="E48" s="139"/>
      <c r="F48" s="7"/>
      <c r="G48" s="27"/>
    </row>
    <row r="49" spans="2:7" x14ac:dyDescent="0.25">
      <c r="B49" s="139"/>
      <c r="C49" s="7"/>
      <c r="D49" s="27"/>
      <c r="E49" s="139"/>
      <c r="F49" s="7"/>
      <c r="G49" s="27"/>
    </row>
    <row r="50" spans="2:7" x14ac:dyDescent="0.25">
      <c r="B50" s="139"/>
      <c r="C50" s="7"/>
      <c r="D50" s="27"/>
      <c r="E50" s="139"/>
      <c r="F50" s="7"/>
      <c r="G50" s="27"/>
    </row>
    <row r="51" spans="2:7" x14ac:dyDescent="0.25">
      <c r="B51" s="139"/>
      <c r="C51" s="7"/>
      <c r="D51" s="27"/>
      <c r="E51" s="139"/>
      <c r="F51" s="7"/>
      <c r="G51" s="27"/>
    </row>
    <row r="52" spans="2:7" x14ac:dyDescent="0.25">
      <c r="B52" s="139"/>
      <c r="C52" s="7"/>
      <c r="D52" s="27"/>
      <c r="E52" s="139"/>
      <c r="F52" s="7"/>
      <c r="G52" s="27"/>
    </row>
    <row r="53" spans="2:7" x14ac:dyDescent="0.25">
      <c r="B53" s="139"/>
      <c r="C53" s="7"/>
      <c r="D53" s="27"/>
      <c r="E53" s="139"/>
      <c r="F53" s="7"/>
      <c r="G53" s="27"/>
    </row>
    <row r="54" spans="2:7" x14ac:dyDescent="0.25">
      <c r="B54" s="139"/>
      <c r="C54" s="7"/>
      <c r="D54" s="27"/>
      <c r="E54" s="139"/>
      <c r="F54" s="7"/>
      <c r="G54" s="27"/>
    </row>
    <row r="55" spans="2:7" x14ac:dyDescent="0.25">
      <c r="B55" s="139"/>
      <c r="C55" s="7"/>
      <c r="D55" s="27"/>
      <c r="E55" s="139"/>
      <c r="F55" s="7"/>
      <c r="G55" s="27"/>
    </row>
    <row r="56" spans="2:7" x14ac:dyDescent="0.25">
      <c r="B56" s="139"/>
      <c r="C56" s="7"/>
      <c r="D56" s="27"/>
      <c r="E56" s="139"/>
      <c r="F56" s="7"/>
      <c r="G56" s="27"/>
    </row>
    <row r="57" spans="2:7" x14ac:dyDescent="0.25">
      <c r="B57" s="139"/>
      <c r="C57" s="7"/>
      <c r="D57" s="27"/>
      <c r="E57" s="139"/>
      <c r="F57" s="7"/>
      <c r="G57" s="27"/>
    </row>
    <row r="58" spans="2:7" x14ac:dyDescent="0.25">
      <c r="B58" s="139"/>
      <c r="C58" s="7"/>
      <c r="D58" s="27"/>
      <c r="E58" s="139"/>
      <c r="F58" s="7"/>
      <c r="G58" s="27"/>
    </row>
    <row r="59" spans="2:7" x14ac:dyDescent="0.25">
      <c r="B59" s="139"/>
      <c r="C59" s="7"/>
      <c r="D59" s="27"/>
      <c r="E59" s="139"/>
      <c r="F59" s="7"/>
      <c r="G59" s="27"/>
    </row>
    <row r="60" spans="2:7" x14ac:dyDescent="0.25">
      <c r="B60" s="139"/>
      <c r="C60" s="7"/>
      <c r="D60" s="27"/>
      <c r="E60" s="139"/>
      <c r="F60" s="7"/>
      <c r="G60" s="27"/>
    </row>
    <row r="61" spans="2:7" x14ac:dyDescent="0.25">
      <c r="B61" s="139"/>
      <c r="C61" s="7"/>
      <c r="D61" s="27"/>
      <c r="E61" s="139"/>
      <c r="F61" s="7"/>
      <c r="G61" s="27"/>
    </row>
    <row r="62" spans="2:7" x14ac:dyDescent="0.25">
      <c r="B62" s="139"/>
      <c r="C62" s="7"/>
      <c r="D62" s="27"/>
      <c r="E62" s="139"/>
      <c r="F62" s="7"/>
      <c r="G62" s="27"/>
    </row>
    <row r="63" spans="2:7" x14ac:dyDescent="0.25">
      <c r="B63" s="139"/>
      <c r="C63" s="7"/>
      <c r="D63" s="27"/>
      <c r="E63" s="139"/>
      <c r="F63" s="7"/>
      <c r="G63" s="27"/>
    </row>
    <row r="64" spans="2:7" x14ac:dyDescent="0.25">
      <c r="B64" s="139"/>
      <c r="C64" s="7"/>
      <c r="D64" s="27"/>
      <c r="E64" s="139"/>
      <c r="F64" s="7"/>
      <c r="G64" s="27"/>
    </row>
    <row r="65" spans="2:7" x14ac:dyDescent="0.25">
      <c r="B65" s="139"/>
      <c r="C65" s="7"/>
      <c r="D65" s="27"/>
      <c r="E65" s="139"/>
      <c r="F65" s="7"/>
      <c r="G65" s="27"/>
    </row>
    <row r="66" spans="2:7" x14ac:dyDescent="0.25">
      <c r="B66" s="139"/>
      <c r="C66" s="7"/>
      <c r="D66" s="27"/>
      <c r="E66" s="139"/>
      <c r="F66" s="7"/>
      <c r="G66" s="27"/>
    </row>
    <row r="67" spans="2:7" x14ac:dyDescent="0.25">
      <c r="B67" s="139"/>
      <c r="C67" s="7"/>
      <c r="D67" s="27"/>
      <c r="E67" s="139"/>
      <c r="F67" s="7"/>
      <c r="G67" s="27"/>
    </row>
    <row r="68" spans="2:7" x14ac:dyDescent="0.25">
      <c r="B68" s="139"/>
      <c r="C68" s="7"/>
      <c r="D68" s="27"/>
      <c r="E68" s="139"/>
      <c r="F68" s="7"/>
      <c r="G68" s="27"/>
    </row>
    <row r="69" spans="2:7" x14ac:dyDescent="0.25">
      <c r="B69" s="139"/>
      <c r="C69" s="7"/>
      <c r="D69" s="27"/>
      <c r="E69" s="139"/>
      <c r="F69" s="7"/>
      <c r="G69" s="27"/>
    </row>
    <row r="70" spans="2:7" x14ac:dyDescent="0.25">
      <c r="B70" s="139"/>
      <c r="C70" s="7"/>
      <c r="D70" s="27"/>
      <c r="E70" s="139"/>
      <c r="F70" s="7"/>
      <c r="G70" s="27"/>
    </row>
    <row r="71" spans="2:7" x14ac:dyDescent="0.25">
      <c r="B71" s="139"/>
      <c r="C71" s="7"/>
      <c r="D71" s="27"/>
      <c r="E71" s="139"/>
      <c r="F71" s="7"/>
      <c r="G71" s="27"/>
    </row>
    <row r="72" spans="2:7" x14ac:dyDescent="0.25">
      <c r="B72" s="139"/>
      <c r="C72" s="7"/>
      <c r="D72" s="27"/>
      <c r="E72" s="139"/>
      <c r="F72" s="7"/>
      <c r="G72" s="27"/>
    </row>
    <row r="73" spans="2:7" x14ac:dyDescent="0.25">
      <c r="B73" s="139"/>
      <c r="C73" s="7"/>
      <c r="D73" s="27"/>
      <c r="E73" s="139"/>
      <c r="F73" s="7"/>
      <c r="G73" s="27"/>
    </row>
    <row r="74" spans="2:7" x14ac:dyDescent="0.25">
      <c r="B74" s="139"/>
      <c r="C74" s="7"/>
      <c r="D74" s="27"/>
      <c r="E74" s="139"/>
      <c r="F74" s="7"/>
      <c r="G74" s="27"/>
    </row>
    <row r="75" spans="2:7" x14ac:dyDescent="0.25">
      <c r="B75" s="139"/>
      <c r="C75" s="7"/>
      <c r="D75" s="27"/>
      <c r="E75" s="139"/>
      <c r="F75" s="7"/>
      <c r="G75" s="27"/>
    </row>
    <row r="76" spans="2:7" x14ac:dyDescent="0.25">
      <c r="B76" s="139"/>
      <c r="C76" s="7"/>
      <c r="D76" s="27"/>
      <c r="E76" s="139"/>
      <c r="F76" s="7"/>
      <c r="G76" s="27"/>
    </row>
    <row r="77" spans="2:7" x14ac:dyDescent="0.25">
      <c r="B77" s="139"/>
      <c r="C77" s="7"/>
      <c r="D77" s="27"/>
      <c r="E77" s="139"/>
      <c r="F77" s="7"/>
      <c r="G77" s="27"/>
    </row>
    <row r="78" spans="2:7" x14ac:dyDescent="0.25">
      <c r="B78" s="139"/>
      <c r="C78" s="7"/>
      <c r="D78" s="27"/>
      <c r="E78" s="139"/>
      <c r="F78" s="7"/>
      <c r="G78" s="27"/>
    </row>
    <row r="79" spans="2:7" x14ac:dyDescent="0.25">
      <c r="B79" s="139"/>
      <c r="C79" s="7"/>
      <c r="D79" s="27"/>
      <c r="E79" s="139"/>
      <c r="F79" s="7"/>
      <c r="G79" s="27"/>
    </row>
    <row r="80" spans="2:7" x14ac:dyDescent="0.25">
      <c r="B80" s="139"/>
      <c r="C80" s="7"/>
      <c r="D80" s="27"/>
      <c r="E80" s="139"/>
      <c r="F80" s="7"/>
      <c r="G80" s="27"/>
    </row>
    <row r="81" spans="2:7" x14ac:dyDescent="0.25">
      <c r="B81" s="139"/>
      <c r="C81" s="7"/>
      <c r="D81" s="27"/>
      <c r="E81" s="139"/>
      <c r="F81" s="7"/>
      <c r="G81" s="27"/>
    </row>
    <row r="82" spans="2:7" x14ac:dyDescent="0.25">
      <c r="B82" s="139"/>
      <c r="C82" s="7"/>
      <c r="D82" s="27"/>
      <c r="E82" s="139"/>
      <c r="F82" s="7"/>
      <c r="G82" s="27"/>
    </row>
    <row r="83" spans="2:7" x14ac:dyDescent="0.25">
      <c r="B83" s="139"/>
      <c r="C83" s="7"/>
      <c r="D83" s="27"/>
      <c r="E83" s="139"/>
      <c r="F83" s="7"/>
      <c r="G83" s="27"/>
    </row>
    <row r="84" spans="2:7" x14ac:dyDescent="0.25">
      <c r="B84" s="139"/>
      <c r="C84" s="7"/>
      <c r="D84" s="27"/>
      <c r="E84" s="139"/>
      <c r="F84" s="7"/>
      <c r="G84" s="27"/>
    </row>
    <row r="85" spans="2:7" x14ac:dyDescent="0.25">
      <c r="B85" s="139"/>
      <c r="C85" s="7"/>
      <c r="D85" s="27"/>
      <c r="E85" s="139"/>
      <c r="F85" s="7"/>
      <c r="G85" s="27"/>
    </row>
    <row r="86" spans="2:7" x14ac:dyDescent="0.25">
      <c r="B86" s="139"/>
      <c r="C86" s="7"/>
      <c r="D86" s="27"/>
      <c r="E86" s="139"/>
      <c r="F86" s="7"/>
      <c r="G86" s="27"/>
    </row>
    <row r="87" spans="2:7" x14ac:dyDescent="0.25">
      <c r="B87" s="139"/>
      <c r="C87" s="7"/>
      <c r="D87" s="27"/>
      <c r="E87" s="139"/>
      <c r="F87" s="7"/>
      <c r="G87" s="27"/>
    </row>
    <row r="88" spans="2:7" x14ac:dyDescent="0.25">
      <c r="B88" s="139"/>
      <c r="C88" s="7"/>
      <c r="D88" s="27"/>
      <c r="E88" s="139"/>
      <c r="F88" s="7"/>
      <c r="G88" s="27"/>
    </row>
    <row r="89" spans="2:7" x14ac:dyDescent="0.25">
      <c r="B89" s="139"/>
      <c r="C89" s="7"/>
      <c r="D89" s="27"/>
      <c r="E89" s="139"/>
      <c r="F89" s="7"/>
      <c r="G89" s="27"/>
    </row>
    <row r="90" spans="2:7" x14ac:dyDescent="0.25">
      <c r="B90" s="139"/>
      <c r="C90" s="7"/>
      <c r="D90" s="27"/>
      <c r="E90" s="139"/>
      <c r="F90" s="7"/>
      <c r="G90" s="27"/>
    </row>
    <row r="91" spans="2:7" x14ac:dyDescent="0.25">
      <c r="B91" s="139"/>
      <c r="C91" s="7"/>
      <c r="D91" s="27"/>
      <c r="E91" s="139"/>
      <c r="F91" s="7"/>
      <c r="G91" s="27"/>
    </row>
    <row r="92" spans="2:7" x14ac:dyDescent="0.25">
      <c r="B92" s="139"/>
      <c r="C92" s="7"/>
      <c r="D92" s="27"/>
      <c r="E92" s="139"/>
      <c r="F92" s="7"/>
      <c r="G92" s="27"/>
    </row>
    <row r="93" spans="2:7" x14ac:dyDescent="0.25">
      <c r="B93" s="139"/>
      <c r="C93" s="7"/>
      <c r="D93" s="27"/>
      <c r="E93" s="139"/>
      <c r="F93" s="7"/>
      <c r="G93" s="27"/>
    </row>
    <row r="94" spans="2:7" x14ac:dyDescent="0.25">
      <c r="B94" s="139"/>
      <c r="C94" s="7"/>
      <c r="D94" s="27"/>
      <c r="E94" s="139"/>
      <c r="F94" s="7"/>
      <c r="G94" s="27"/>
    </row>
    <row r="95" spans="2:7" x14ac:dyDescent="0.25">
      <c r="B95" s="139"/>
      <c r="C95" s="7"/>
      <c r="D95" s="27"/>
      <c r="E95" s="139"/>
      <c r="F95" s="7"/>
      <c r="G95" s="27"/>
    </row>
    <row r="96" spans="2:7" x14ac:dyDescent="0.25">
      <c r="B96" s="139"/>
      <c r="C96" s="7"/>
      <c r="D96" s="27"/>
      <c r="E96" s="139"/>
      <c r="F96" s="7"/>
      <c r="G96" s="27"/>
    </row>
    <row r="97" spans="2:7" x14ac:dyDescent="0.25">
      <c r="B97" s="139"/>
      <c r="C97" s="7"/>
      <c r="D97" s="27"/>
      <c r="E97" s="139"/>
      <c r="F97" s="7"/>
      <c r="G97" s="27"/>
    </row>
    <row r="98" spans="2:7" x14ac:dyDescent="0.25">
      <c r="B98" s="139"/>
      <c r="C98" s="7"/>
      <c r="D98" s="27"/>
      <c r="E98" s="139"/>
      <c r="F98" s="7"/>
      <c r="G98" s="27"/>
    </row>
    <row r="99" spans="2:7" x14ac:dyDescent="0.25">
      <c r="B99" s="139"/>
      <c r="C99" s="7"/>
      <c r="D99" s="27"/>
      <c r="E99" s="139"/>
      <c r="F99" s="7"/>
      <c r="G99" s="27"/>
    </row>
    <row r="100" spans="2:7" x14ac:dyDescent="0.25">
      <c r="B100" s="139"/>
      <c r="C100" s="7"/>
      <c r="D100" s="27"/>
      <c r="E100" s="139"/>
      <c r="F100" s="7"/>
      <c r="G100" s="27"/>
    </row>
    <row r="101" spans="2:7" x14ac:dyDescent="0.25">
      <c r="B101" s="139"/>
      <c r="C101" s="7"/>
      <c r="D101" s="27"/>
      <c r="E101" s="139"/>
      <c r="F101" s="7"/>
      <c r="G101" s="27"/>
    </row>
    <row r="102" spans="2:7" x14ac:dyDescent="0.25">
      <c r="B102" s="139"/>
      <c r="C102" s="7"/>
      <c r="D102" s="27"/>
      <c r="E102" s="139"/>
      <c r="F102" s="7"/>
      <c r="G102" s="27"/>
    </row>
    <row r="103" spans="2:7" x14ac:dyDescent="0.25">
      <c r="B103" s="139"/>
      <c r="C103" s="7"/>
      <c r="D103" s="27"/>
      <c r="E103" s="139"/>
      <c r="F103" s="7"/>
      <c r="G103" s="27"/>
    </row>
    <row r="104" spans="2:7" x14ac:dyDescent="0.25">
      <c r="B104" s="139"/>
      <c r="C104" s="7"/>
      <c r="D104" s="27"/>
      <c r="E104" s="139"/>
      <c r="F104" s="7"/>
      <c r="G104" s="27"/>
    </row>
    <row r="105" spans="2:7" x14ac:dyDescent="0.25">
      <c r="B105" s="139"/>
      <c r="C105" s="7"/>
      <c r="D105" s="27"/>
      <c r="E105" s="139"/>
      <c r="F105" s="7"/>
      <c r="G105" s="27"/>
    </row>
    <row r="106" spans="2:7" x14ac:dyDescent="0.25">
      <c r="B106" s="139"/>
      <c r="C106" s="7"/>
      <c r="D106" s="27"/>
      <c r="E106" s="139"/>
      <c r="F106" s="7"/>
      <c r="G106" s="27"/>
    </row>
    <row r="107" spans="2:7" x14ac:dyDescent="0.25">
      <c r="B107" s="139"/>
      <c r="C107" s="7"/>
      <c r="D107" s="27"/>
      <c r="E107" s="139"/>
      <c r="F107" s="7"/>
      <c r="G107" s="27"/>
    </row>
    <row r="108" spans="2:7" x14ac:dyDescent="0.25">
      <c r="B108" s="139"/>
      <c r="C108" s="7"/>
      <c r="D108" s="27"/>
      <c r="E108" s="139"/>
      <c r="F108" s="7"/>
      <c r="G108" s="27"/>
    </row>
    <row r="109" spans="2:7" x14ac:dyDescent="0.25">
      <c r="B109" s="139"/>
      <c r="C109" s="7"/>
      <c r="D109" s="27"/>
      <c r="E109" s="139"/>
      <c r="F109" s="7"/>
      <c r="G109" s="27"/>
    </row>
    <row r="110" spans="2:7" x14ac:dyDescent="0.25">
      <c r="B110" s="139"/>
      <c r="C110" s="7"/>
      <c r="D110" s="27"/>
      <c r="E110" s="139"/>
      <c r="F110" s="7"/>
      <c r="G110" s="27"/>
    </row>
    <row r="111" spans="2:7" x14ac:dyDescent="0.25">
      <c r="B111" s="139"/>
      <c r="C111" s="7"/>
      <c r="D111" s="27"/>
      <c r="E111" s="139"/>
      <c r="F111" s="7"/>
      <c r="G111" s="27"/>
    </row>
    <row r="112" spans="2:7" x14ac:dyDescent="0.25">
      <c r="B112" s="139"/>
      <c r="C112" s="7"/>
      <c r="D112" s="27"/>
      <c r="E112" s="139"/>
      <c r="F112" s="7"/>
      <c r="G112" s="27"/>
    </row>
    <row r="113" spans="2:7" x14ac:dyDescent="0.25">
      <c r="B113" s="139"/>
      <c r="C113" s="7"/>
      <c r="D113" s="27"/>
      <c r="E113" s="139"/>
      <c r="F113" s="7"/>
      <c r="G113" s="27"/>
    </row>
    <row r="114" spans="2:7" x14ac:dyDescent="0.25">
      <c r="B114" s="139"/>
      <c r="C114" s="7"/>
      <c r="D114" s="27"/>
      <c r="E114" s="139"/>
      <c r="F114" s="7"/>
      <c r="G114" s="27"/>
    </row>
    <row r="115" spans="2:7" x14ac:dyDescent="0.25">
      <c r="B115" s="139"/>
      <c r="C115" s="7"/>
      <c r="D115" s="27"/>
      <c r="E115" s="139"/>
      <c r="F115" s="7"/>
      <c r="G115" s="27"/>
    </row>
    <row r="116" spans="2:7" x14ac:dyDescent="0.25">
      <c r="B116" s="139"/>
      <c r="C116" s="7"/>
      <c r="D116" s="27"/>
      <c r="E116" s="139"/>
      <c r="F116" s="7"/>
      <c r="G116" s="27"/>
    </row>
    <row r="117" spans="2:7" x14ac:dyDescent="0.25">
      <c r="B117" s="139"/>
      <c r="C117" s="7"/>
      <c r="D117" s="27"/>
      <c r="E117" s="139"/>
      <c r="F117" s="7"/>
      <c r="G117" s="27"/>
    </row>
    <row r="118" spans="2:7" x14ac:dyDescent="0.25">
      <c r="B118" s="139"/>
      <c r="C118" s="7"/>
      <c r="D118" s="27"/>
      <c r="E118" s="139"/>
      <c r="F118" s="7"/>
      <c r="G118" s="27"/>
    </row>
    <row r="119" spans="2:7" x14ac:dyDescent="0.25">
      <c r="B119" s="139"/>
      <c r="C119" s="7"/>
      <c r="D119" s="27"/>
      <c r="E119" s="139"/>
      <c r="F119" s="7"/>
      <c r="G119" s="27"/>
    </row>
    <row r="120" spans="2:7" x14ac:dyDescent="0.25">
      <c r="B120" s="139"/>
      <c r="C120" s="7"/>
      <c r="D120" s="27"/>
      <c r="E120" s="139"/>
      <c r="F120" s="7"/>
      <c r="G120" s="27"/>
    </row>
    <row r="121" spans="2:7" x14ac:dyDescent="0.25">
      <c r="B121" s="139"/>
      <c r="C121" s="7"/>
      <c r="D121" s="27"/>
      <c r="E121" s="139"/>
      <c r="F121" s="7"/>
      <c r="G121" s="27"/>
    </row>
    <row r="122" spans="2:7" x14ac:dyDescent="0.25">
      <c r="B122" s="139"/>
      <c r="C122" s="7"/>
      <c r="D122" s="27"/>
      <c r="E122" s="139"/>
      <c r="F122" s="7"/>
      <c r="G122" s="27"/>
    </row>
    <row r="123" spans="2:7" x14ac:dyDescent="0.25">
      <c r="B123" s="139"/>
      <c r="C123" s="7"/>
      <c r="D123" s="27"/>
      <c r="E123" s="139"/>
      <c r="F123" s="7"/>
      <c r="G123" s="27"/>
    </row>
    <row r="124" spans="2:7" x14ac:dyDescent="0.25">
      <c r="B124" s="139"/>
      <c r="C124" s="7"/>
      <c r="D124" s="27"/>
      <c r="E124" s="139"/>
      <c r="F124" s="7"/>
      <c r="G124" s="27"/>
    </row>
    <row r="125" spans="2:7" x14ac:dyDescent="0.25">
      <c r="B125" s="139"/>
      <c r="C125" s="7"/>
      <c r="D125" s="27"/>
      <c r="E125" s="139"/>
      <c r="F125" s="7"/>
      <c r="G125" s="27"/>
    </row>
    <row r="126" spans="2:7" x14ac:dyDescent="0.25">
      <c r="B126" s="139"/>
      <c r="C126" s="7"/>
      <c r="D126" s="27"/>
      <c r="E126" s="139"/>
      <c r="F126" s="7"/>
      <c r="G126" s="27"/>
    </row>
    <row r="127" spans="2:7" x14ac:dyDescent="0.25">
      <c r="B127" s="139"/>
      <c r="C127" s="7"/>
      <c r="D127" s="27"/>
      <c r="E127" s="139"/>
      <c r="F127" s="7"/>
      <c r="G127" s="27"/>
    </row>
    <row r="128" spans="2:7" x14ac:dyDescent="0.25">
      <c r="B128" s="139"/>
      <c r="C128" s="7"/>
      <c r="D128" s="27"/>
      <c r="E128" s="139"/>
      <c r="F128" s="7"/>
      <c r="G128" s="27"/>
    </row>
    <row r="129" spans="2:7" x14ac:dyDescent="0.25">
      <c r="B129" s="139"/>
      <c r="C129" s="7"/>
      <c r="D129" s="27"/>
      <c r="E129" s="139"/>
      <c r="F129" s="7"/>
      <c r="G129" s="27"/>
    </row>
    <row r="130" spans="2:7" x14ac:dyDescent="0.25">
      <c r="B130" s="139"/>
      <c r="C130" s="7"/>
      <c r="D130" s="27"/>
      <c r="E130" s="139"/>
      <c r="F130" s="7"/>
      <c r="G130" s="27"/>
    </row>
    <row r="131" spans="2:7" x14ac:dyDescent="0.25">
      <c r="B131" s="139"/>
      <c r="C131" s="7"/>
      <c r="D131" s="27"/>
      <c r="E131" s="139"/>
      <c r="F131" s="7"/>
      <c r="G131" s="27"/>
    </row>
    <row r="132" spans="2:7" x14ac:dyDescent="0.25">
      <c r="B132" s="139"/>
      <c r="C132" s="7"/>
      <c r="D132" s="27"/>
      <c r="E132" s="139"/>
      <c r="F132" s="7"/>
      <c r="G132" s="27"/>
    </row>
    <row r="133" spans="2:7" x14ac:dyDescent="0.25">
      <c r="B133" s="139"/>
      <c r="C133" s="7"/>
      <c r="D133" s="27"/>
      <c r="E133" s="139"/>
      <c r="F133" s="7"/>
      <c r="G133" s="27"/>
    </row>
    <row r="134" spans="2:7" x14ac:dyDescent="0.25">
      <c r="B134" s="139"/>
      <c r="C134" s="7"/>
      <c r="D134" s="27"/>
      <c r="E134" s="139"/>
      <c r="F134" s="7"/>
      <c r="G134" s="27"/>
    </row>
    <row r="135" spans="2:7" x14ac:dyDescent="0.25">
      <c r="B135" s="139"/>
      <c r="C135" s="7"/>
      <c r="D135" s="27"/>
      <c r="E135" s="139"/>
      <c r="F135" s="7"/>
      <c r="G135" s="27"/>
    </row>
    <row r="136" spans="2:7" x14ac:dyDescent="0.25">
      <c r="B136" s="139"/>
      <c r="C136" s="7"/>
      <c r="D136" s="27"/>
      <c r="E136" s="139"/>
      <c r="F136" s="7"/>
      <c r="G136" s="27"/>
    </row>
    <row r="137" spans="2:7" x14ac:dyDescent="0.25">
      <c r="B137" s="139"/>
      <c r="C137" s="7"/>
      <c r="D137" s="27"/>
      <c r="E137" s="139"/>
      <c r="F137" s="7"/>
      <c r="G137" s="27"/>
    </row>
    <row r="138" spans="2:7" x14ac:dyDescent="0.25">
      <c r="B138" s="139"/>
      <c r="C138" s="7"/>
      <c r="D138" s="27"/>
      <c r="E138" s="139"/>
      <c r="F138" s="7"/>
      <c r="G138" s="27"/>
    </row>
    <row r="139" spans="2:7" x14ac:dyDescent="0.25">
      <c r="B139" s="139"/>
      <c r="C139" s="7"/>
      <c r="D139" s="27"/>
      <c r="E139" s="139"/>
      <c r="F139" s="7"/>
      <c r="G139" s="27"/>
    </row>
    <row r="140" spans="2:7" x14ac:dyDescent="0.25">
      <c r="B140" s="139"/>
      <c r="C140" s="7"/>
      <c r="D140" s="27"/>
      <c r="E140" s="139"/>
      <c r="F140" s="7"/>
      <c r="G140" s="27"/>
    </row>
    <row r="141" spans="2:7" x14ac:dyDescent="0.25">
      <c r="B141" s="139"/>
      <c r="C141" s="7"/>
      <c r="D141" s="27"/>
      <c r="E141" s="139"/>
      <c r="F141" s="7"/>
      <c r="G141" s="27"/>
    </row>
    <row r="142" spans="2:7" x14ac:dyDescent="0.25">
      <c r="B142" s="139"/>
      <c r="C142" s="7"/>
      <c r="D142" s="27"/>
      <c r="E142" s="139"/>
      <c r="F142" s="7"/>
      <c r="G142" s="27"/>
    </row>
    <row r="143" spans="2:7" x14ac:dyDescent="0.25">
      <c r="B143" s="139"/>
      <c r="C143" s="7"/>
      <c r="D143" s="27"/>
      <c r="E143" s="139"/>
      <c r="F143" s="7"/>
      <c r="G143" s="27"/>
    </row>
    <row r="144" spans="2:7" x14ac:dyDescent="0.25">
      <c r="B144" s="139"/>
      <c r="C144" s="7"/>
      <c r="D144" s="27"/>
      <c r="E144" s="139"/>
      <c r="F144" s="7"/>
      <c r="G144" s="27"/>
    </row>
    <row r="145" spans="2:7" x14ac:dyDescent="0.25">
      <c r="B145" s="139"/>
      <c r="C145" s="7"/>
      <c r="D145" s="27"/>
      <c r="E145" s="139"/>
      <c r="F145" s="7"/>
      <c r="G145" s="27"/>
    </row>
    <row r="146" spans="2:7" x14ac:dyDescent="0.25">
      <c r="B146" s="139"/>
      <c r="C146" s="7"/>
      <c r="D146" s="27"/>
      <c r="E146" s="139"/>
      <c r="F146" s="7"/>
      <c r="G146" s="27"/>
    </row>
    <row r="147" spans="2:7" x14ac:dyDescent="0.25">
      <c r="B147" s="139"/>
      <c r="C147" s="7"/>
      <c r="D147" s="27"/>
      <c r="E147" s="139"/>
      <c r="F147" s="7"/>
      <c r="G147" s="27"/>
    </row>
    <row r="148" spans="2:7" x14ac:dyDescent="0.25">
      <c r="B148" s="139"/>
      <c r="C148" s="7"/>
      <c r="D148" s="27"/>
      <c r="E148" s="139"/>
      <c r="F148" s="7"/>
      <c r="G148" s="27"/>
    </row>
    <row r="149" spans="2:7" x14ac:dyDescent="0.25">
      <c r="B149" s="139"/>
      <c r="C149" s="7"/>
      <c r="D149" s="27"/>
      <c r="E149" s="139"/>
      <c r="F149" s="7"/>
      <c r="G149" s="27"/>
    </row>
    <row r="150" spans="2:7" x14ac:dyDescent="0.25">
      <c r="B150" s="139"/>
      <c r="C150" s="7"/>
      <c r="D150" s="27"/>
      <c r="E150" s="139"/>
      <c r="F150" s="7"/>
      <c r="G150" s="27"/>
    </row>
    <row r="151" spans="2:7" x14ac:dyDescent="0.25">
      <c r="B151" s="139"/>
      <c r="C151" s="7"/>
      <c r="D151" s="27"/>
      <c r="E151" s="139"/>
      <c r="F151" s="7"/>
      <c r="G151" s="27"/>
    </row>
    <row r="152" spans="2:7" x14ac:dyDescent="0.25">
      <c r="B152" s="139"/>
      <c r="C152" s="7"/>
      <c r="D152" s="27"/>
      <c r="E152" s="139"/>
      <c r="F152" s="7"/>
      <c r="G152" s="27"/>
    </row>
    <row r="153" spans="2:7" x14ac:dyDescent="0.25">
      <c r="B153" s="139"/>
      <c r="C153" s="7"/>
      <c r="D153" s="27"/>
      <c r="E153" s="139"/>
      <c r="F153" s="7"/>
      <c r="G153" s="27"/>
    </row>
    <row r="154" spans="2:7" x14ac:dyDescent="0.25">
      <c r="B154" s="139"/>
      <c r="C154" s="7"/>
      <c r="D154" s="27"/>
      <c r="E154" s="139"/>
      <c r="F154" s="7"/>
      <c r="G154" s="27"/>
    </row>
    <row r="155" spans="2:7" x14ac:dyDescent="0.25">
      <c r="B155" s="139"/>
      <c r="C155" s="7"/>
      <c r="D155" s="27"/>
      <c r="E155" s="139"/>
      <c r="F155" s="7"/>
      <c r="G155" s="27"/>
    </row>
    <row r="156" spans="2:7" x14ac:dyDescent="0.25">
      <c r="B156" s="139"/>
      <c r="C156" s="7"/>
      <c r="D156" s="27"/>
      <c r="E156" s="139"/>
      <c r="F156" s="7"/>
      <c r="G156" s="27"/>
    </row>
    <row r="157" spans="2:7" x14ac:dyDescent="0.25">
      <c r="B157" s="139"/>
      <c r="C157" s="7"/>
      <c r="D157" s="27"/>
      <c r="E157" s="139"/>
      <c r="F157" s="7"/>
      <c r="G157" s="27"/>
    </row>
    <row r="158" spans="2:7" x14ac:dyDescent="0.25">
      <c r="B158" s="139"/>
      <c r="C158" s="7"/>
      <c r="D158" s="27"/>
      <c r="E158" s="139"/>
      <c r="F158" s="7"/>
      <c r="G158" s="27"/>
    </row>
    <row r="159" spans="2:7" x14ac:dyDescent="0.25">
      <c r="B159" s="139"/>
      <c r="C159" s="7"/>
      <c r="D159" s="27"/>
      <c r="E159" s="139"/>
      <c r="F159" s="7"/>
      <c r="G159" s="27"/>
    </row>
    <row r="160" spans="2:7" x14ac:dyDescent="0.25">
      <c r="B160" s="139"/>
      <c r="C160" s="7"/>
      <c r="D160" s="27"/>
      <c r="E160" s="139"/>
      <c r="F160" s="7"/>
      <c r="G160" s="27"/>
    </row>
    <row r="161" spans="2:7" x14ac:dyDescent="0.25">
      <c r="B161" s="139"/>
      <c r="C161" s="7"/>
      <c r="D161" s="27"/>
      <c r="E161" s="139"/>
      <c r="F161" s="7"/>
      <c r="G161" s="27"/>
    </row>
    <row r="162" spans="2:7" x14ac:dyDescent="0.25">
      <c r="B162" s="139"/>
      <c r="C162" s="7"/>
      <c r="D162" s="27"/>
      <c r="E162" s="139"/>
      <c r="F162" s="7"/>
      <c r="G162" s="27"/>
    </row>
    <row r="163" spans="2:7" x14ac:dyDescent="0.25">
      <c r="B163" s="139"/>
      <c r="C163" s="7"/>
      <c r="D163" s="27"/>
      <c r="E163" s="139"/>
      <c r="F163" s="7"/>
      <c r="G163" s="27"/>
    </row>
    <row r="164" spans="2:7" x14ac:dyDescent="0.25">
      <c r="B164" s="139"/>
      <c r="C164" s="7"/>
      <c r="D164" s="27"/>
      <c r="E164" s="139"/>
      <c r="F164" s="7"/>
      <c r="G164" s="27"/>
    </row>
    <row r="165" spans="2:7" x14ac:dyDescent="0.25">
      <c r="B165" s="139"/>
      <c r="C165" s="7"/>
      <c r="D165" s="27"/>
      <c r="E165" s="139"/>
      <c r="F165" s="7"/>
      <c r="G165" s="27"/>
    </row>
    <row r="166" spans="2:7" x14ac:dyDescent="0.25">
      <c r="B166" s="139"/>
      <c r="C166" s="7"/>
      <c r="D166" s="27"/>
      <c r="E166" s="139"/>
      <c r="F166" s="7"/>
      <c r="G166" s="27"/>
    </row>
    <row r="167" spans="2:7" x14ac:dyDescent="0.25">
      <c r="B167" s="139"/>
      <c r="C167" s="7"/>
      <c r="D167" s="27"/>
      <c r="E167" s="139"/>
      <c r="F167" s="7"/>
      <c r="G167" s="27"/>
    </row>
    <row r="168" spans="2:7" x14ac:dyDescent="0.25">
      <c r="B168" s="139"/>
      <c r="C168" s="7"/>
      <c r="D168" s="27"/>
      <c r="E168" s="139"/>
      <c r="F168" s="7"/>
      <c r="G168" s="27"/>
    </row>
    <row r="169" spans="2:7" x14ac:dyDescent="0.25">
      <c r="B169" s="139"/>
      <c r="C169" s="7"/>
      <c r="D169" s="27"/>
      <c r="E169" s="139"/>
      <c r="F169" s="7"/>
      <c r="G169" s="27"/>
    </row>
    <row r="170" spans="2:7" x14ac:dyDescent="0.25">
      <c r="B170" s="139"/>
      <c r="C170" s="7"/>
      <c r="D170" s="27"/>
      <c r="E170" s="139"/>
      <c r="F170" s="7"/>
      <c r="G170" s="27"/>
    </row>
    <row r="171" spans="2:7" x14ac:dyDescent="0.25">
      <c r="B171" s="139"/>
      <c r="C171" s="7"/>
      <c r="D171" s="27"/>
      <c r="E171" s="139"/>
      <c r="F171" s="7"/>
      <c r="G171" s="27"/>
    </row>
    <row r="172" spans="2:7" x14ac:dyDescent="0.25">
      <c r="B172" s="139"/>
      <c r="C172" s="7"/>
      <c r="D172" s="27"/>
      <c r="E172" s="139"/>
      <c r="F172" s="7"/>
      <c r="G172" s="27"/>
    </row>
    <row r="173" spans="2:7" x14ac:dyDescent="0.25">
      <c r="B173" s="139"/>
      <c r="C173" s="7"/>
      <c r="D173" s="27"/>
      <c r="E173" s="139"/>
      <c r="F173" s="7"/>
      <c r="G173" s="27"/>
    </row>
    <row r="174" spans="2:7" x14ac:dyDescent="0.25">
      <c r="B174" s="139"/>
      <c r="C174" s="7"/>
      <c r="D174" s="27"/>
      <c r="E174" s="139"/>
      <c r="F174" s="7"/>
      <c r="G174" s="27"/>
    </row>
    <row r="175" spans="2:7" x14ac:dyDescent="0.25">
      <c r="B175" s="139"/>
      <c r="C175" s="7"/>
      <c r="D175" s="27"/>
      <c r="E175" s="139"/>
      <c r="F175" s="7"/>
      <c r="G175" s="27"/>
    </row>
    <row r="176" spans="2:7" x14ac:dyDescent="0.25">
      <c r="B176" s="139"/>
      <c r="C176" s="7"/>
      <c r="D176" s="27"/>
      <c r="E176" s="139"/>
      <c r="F176" s="7"/>
      <c r="G176" s="27"/>
    </row>
    <row r="177" spans="2:7" x14ac:dyDescent="0.25">
      <c r="B177" s="139"/>
      <c r="C177" s="7"/>
      <c r="D177" s="27"/>
      <c r="E177" s="139"/>
      <c r="F177" s="7"/>
      <c r="G177" s="27"/>
    </row>
    <row r="178" spans="2:7" x14ac:dyDescent="0.25">
      <c r="B178" s="139"/>
      <c r="C178" s="7"/>
      <c r="D178" s="27"/>
      <c r="E178" s="139"/>
      <c r="F178" s="7"/>
      <c r="G178" s="27"/>
    </row>
    <row r="179" spans="2:7" x14ac:dyDescent="0.25">
      <c r="B179" s="139"/>
      <c r="C179" s="7"/>
      <c r="D179" s="27"/>
      <c r="E179" s="139"/>
      <c r="F179" s="7"/>
      <c r="G179" s="27"/>
    </row>
    <row r="180" spans="2:7" x14ac:dyDescent="0.25">
      <c r="B180" s="139"/>
      <c r="C180" s="7"/>
      <c r="D180" s="27"/>
      <c r="E180" s="139"/>
      <c r="F180" s="7"/>
      <c r="G180" s="27"/>
    </row>
    <row r="181" spans="2:7" x14ac:dyDescent="0.25">
      <c r="B181" s="139"/>
      <c r="C181" s="7"/>
      <c r="D181" s="27"/>
      <c r="E181" s="139"/>
      <c r="F181" s="7"/>
      <c r="G181" s="27"/>
    </row>
    <row r="182" spans="2:7" x14ac:dyDescent="0.25">
      <c r="B182" s="139"/>
      <c r="C182" s="7"/>
      <c r="D182" s="27"/>
      <c r="E182" s="139"/>
      <c r="F182" s="7"/>
      <c r="G182" s="27"/>
    </row>
    <row r="183" spans="2:7" x14ac:dyDescent="0.25">
      <c r="B183" s="139"/>
      <c r="C183" s="7"/>
      <c r="D183" s="27"/>
      <c r="E183" s="139"/>
      <c r="F183" s="7"/>
      <c r="G183" s="27"/>
    </row>
    <row r="184" spans="2:7" x14ac:dyDescent="0.25">
      <c r="B184" s="139"/>
      <c r="C184" s="7"/>
      <c r="D184" s="27"/>
      <c r="E184" s="139"/>
      <c r="F184" s="7"/>
      <c r="G184" s="27"/>
    </row>
    <row r="185" spans="2:7" x14ac:dyDescent="0.25">
      <c r="B185" s="139"/>
      <c r="C185" s="7"/>
      <c r="D185" s="27"/>
      <c r="E185" s="139"/>
      <c r="F185" s="7"/>
      <c r="G185" s="27"/>
    </row>
    <row r="186" spans="2:7" x14ac:dyDescent="0.25">
      <c r="B186" s="139"/>
      <c r="C186" s="7"/>
      <c r="D186" s="27"/>
      <c r="E186" s="139"/>
      <c r="F186" s="7"/>
      <c r="G186" s="27"/>
    </row>
    <row r="187" spans="2:7" x14ac:dyDescent="0.25">
      <c r="B187" s="139"/>
      <c r="C187" s="7"/>
      <c r="D187" s="27"/>
      <c r="E187" s="139"/>
      <c r="F187" s="7"/>
      <c r="G187" s="27"/>
    </row>
    <row r="188" spans="2:7" x14ac:dyDescent="0.25">
      <c r="B188" s="139"/>
      <c r="C188" s="7"/>
      <c r="D188" s="27"/>
      <c r="E188" s="139"/>
      <c r="F188" s="7"/>
      <c r="G188" s="27"/>
    </row>
    <row r="189" spans="2:7" x14ac:dyDescent="0.25">
      <c r="B189" s="139"/>
      <c r="C189" s="7"/>
      <c r="D189" s="27"/>
      <c r="E189" s="139"/>
      <c r="F189" s="7"/>
      <c r="G189" s="27"/>
    </row>
    <row r="190" spans="2:7" x14ac:dyDescent="0.25">
      <c r="B190" s="139"/>
      <c r="C190" s="7"/>
      <c r="D190" s="27"/>
      <c r="E190" s="139"/>
      <c r="F190" s="7"/>
      <c r="G190" s="27"/>
    </row>
    <row r="191" spans="2:7" x14ac:dyDescent="0.25">
      <c r="B191" s="139"/>
      <c r="C191" s="7"/>
      <c r="D191" s="27"/>
      <c r="E191" s="139"/>
      <c r="F191" s="7"/>
      <c r="G191" s="27"/>
    </row>
    <row r="192" spans="2:7" x14ac:dyDescent="0.25">
      <c r="B192" s="139"/>
      <c r="C192" s="7"/>
      <c r="D192" s="27"/>
      <c r="E192" s="139"/>
      <c r="F192" s="7"/>
      <c r="G192" s="27"/>
    </row>
    <row r="193" spans="2:7" x14ac:dyDescent="0.25">
      <c r="B193" s="139"/>
      <c r="C193" s="7"/>
      <c r="D193" s="27"/>
      <c r="E193" s="139"/>
      <c r="F193" s="7"/>
      <c r="G193" s="27"/>
    </row>
    <row r="194" spans="2:7" x14ac:dyDescent="0.25">
      <c r="B194" s="139"/>
      <c r="C194" s="7"/>
      <c r="D194" s="27"/>
      <c r="E194" s="139"/>
      <c r="F194" s="7"/>
      <c r="G194" s="27"/>
    </row>
    <row r="195" spans="2:7" x14ac:dyDescent="0.25">
      <c r="B195" s="139"/>
      <c r="C195" s="7"/>
      <c r="D195" s="27"/>
      <c r="E195" s="139"/>
      <c r="F195" s="7"/>
      <c r="G195" s="27"/>
    </row>
    <row r="196" spans="2:7" x14ac:dyDescent="0.25">
      <c r="B196" s="139"/>
      <c r="C196" s="7"/>
      <c r="D196" s="27"/>
      <c r="E196" s="139"/>
      <c r="F196" s="7"/>
      <c r="G196" s="27"/>
    </row>
    <row r="197" spans="2:7" x14ac:dyDescent="0.25">
      <c r="B197" s="139"/>
      <c r="C197" s="7"/>
      <c r="D197" s="27"/>
      <c r="E197" s="139"/>
      <c r="F197" s="7"/>
      <c r="G197" s="27"/>
    </row>
    <row r="198" spans="2:7" x14ac:dyDescent="0.25">
      <c r="B198" s="139"/>
      <c r="C198" s="7"/>
      <c r="D198" s="27"/>
      <c r="E198" s="139"/>
      <c r="F198" s="7"/>
      <c r="G198" s="27"/>
    </row>
    <row r="199" spans="2:7" x14ac:dyDescent="0.25">
      <c r="B199" s="139"/>
      <c r="C199" s="7"/>
      <c r="D199" s="27"/>
      <c r="E199" s="139"/>
      <c r="F199" s="7"/>
      <c r="G199" s="27"/>
    </row>
    <row r="200" spans="2:7" x14ac:dyDescent="0.25">
      <c r="B200" s="139"/>
      <c r="C200" s="7"/>
      <c r="D200" s="27"/>
      <c r="E200" s="139"/>
      <c r="F200" s="7"/>
      <c r="G200" s="27"/>
    </row>
    <row r="201" spans="2:7" x14ac:dyDescent="0.25">
      <c r="B201" s="139"/>
      <c r="C201" s="7"/>
      <c r="D201" s="27"/>
      <c r="E201" s="139"/>
      <c r="F201" s="7"/>
      <c r="G201" s="27"/>
    </row>
    <row r="202" spans="2:7" x14ac:dyDescent="0.25">
      <c r="B202" s="139"/>
      <c r="C202" s="7"/>
      <c r="D202" s="27"/>
      <c r="E202" s="139"/>
      <c r="F202" s="7"/>
      <c r="G202" s="27"/>
    </row>
    <row r="203" spans="2:7" x14ac:dyDescent="0.25">
      <c r="B203" s="139"/>
      <c r="C203" s="7"/>
      <c r="D203" s="27"/>
      <c r="E203" s="139"/>
      <c r="F203" s="7"/>
      <c r="G203" s="27"/>
    </row>
    <row r="204" spans="2:7" x14ac:dyDescent="0.25">
      <c r="B204" s="139"/>
      <c r="C204" s="7"/>
      <c r="D204" s="27"/>
      <c r="E204" s="139"/>
      <c r="F204" s="7"/>
      <c r="G204" s="27"/>
    </row>
    <row r="205" spans="2:7" x14ac:dyDescent="0.25">
      <c r="B205" s="139"/>
      <c r="C205" s="7"/>
      <c r="D205" s="27"/>
      <c r="E205" s="139"/>
      <c r="F205" s="7"/>
      <c r="G205" s="27"/>
    </row>
    <row r="206" spans="2:7" x14ac:dyDescent="0.25">
      <c r="B206" s="139"/>
      <c r="C206" s="7"/>
      <c r="D206" s="27"/>
      <c r="E206" s="139"/>
      <c r="F206" s="7"/>
      <c r="G206" s="27"/>
    </row>
    <row r="207" spans="2:7" x14ac:dyDescent="0.25">
      <c r="B207" s="139"/>
      <c r="C207" s="7"/>
      <c r="D207" s="27"/>
      <c r="E207" s="139"/>
      <c r="F207" s="7"/>
      <c r="G207" s="27"/>
    </row>
    <row r="208" spans="2:7" x14ac:dyDescent="0.25">
      <c r="B208" s="139"/>
      <c r="C208" s="7"/>
      <c r="D208" s="27"/>
      <c r="E208" s="139"/>
      <c r="F208" s="7"/>
      <c r="G208" s="27"/>
    </row>
    <row r="209" spans="2:7" x14ac:dyDescent="0.25">
      <c r="B209" s="139"/>
      <c r="C209" s="7"/>
      <c r="D209" s="27"/>
      <c r="E209" s="139"/>
      <c r="F209" s="7"/>
      <c r="G209" s="27"/>
    </row>
    <row r="210" spans="2:7" x14ac:dyDescent="0.25">
      <c r="B210" s="139"/>
      <c r="C210" s="7"/>
      <c r="D210" s="27"/>
      <c r="E210" s="139"/>
      <c r="F210" s="7"/>
      <c r="G210" s="27"/>
    </row>
    <row r="211" spans="2:7" x14ac:dyDescent="0.25">
      <c r="B211" s="139"/>
      <c r="C211" s="7"/>
      <c r="D211" s="27"/>
      <c r="E211" s="139"/>
      <c r="F211" s="7"/>
      <c r="G211" s="27"/>
    </row>
    <row r="212" spans="2:7" x14ac:dyDescent="0.25">
      <c r="B212" s="139"/>
      <c r="C212" s="7"/>
      <c r="D212" s="27"/>
      <c r="E212" s="139"/>
      <c r="F212" s="7"/>
      <c r="G212" s="27"/>
    </row>
    <row r="213" spans="2:7" x14ac:dyDescent="0.25">
      <c r="B213" s="139"/>
      <c r="C213" s="7"/>
      <c r="D213" s="27"/>
      <c r="E213" s="139"/>
      <c r="F213" s="7"/>
      <c r="G213" s="27"/>
    </row>
    <row r="214" spans="2:7" x14ac:dyDescent="0.25">
      <c r="B214" s="139"/>
      <c r="C214" s="7"/>
      <c r="D214" s="27"/>
      <c r="E214" s="139"/>
      <c r="F214" s="7"/>
      <c r="G214" s="27"/>
    </row>
    <row r="215" spans="2:7" x14ac:dyDescent="0.25">
      <c r="B215" s="139"/>
      <c r="C215" s="7"/>
      <c r="D215" s="27"/>
      <c r="E215" s="139"/>
      <c r="F215" s="7"/>
      <c r="G215" s="27"/>
    </row>
    <row r="216" spans="2:7" x14ac:dyDescent="0.25">
      <c r="B216" s="139"/>
      <c r="C216" s="7"/>
      <c r="D216" s="27"/>
      <c r="E216" s="139"/>
      <c r="F216" s="7"/>
      <c r="G216" s="27"/>
    </row>
    <row r="217" spans="2:7" x14ac:dyDescent="0.25">
      <c r="B217" s="139"/>
      <c r="C217" s="7"/>
      <c r="D217" s="27"/>
      <c r="E217" s="139"/>
      <c r="F217" s="7"/>
      <c r="G217" s="27"/>
    </row>
    <row r="218" spans="2:7" x14ac:dyDescent="0.25">
      <c r="B218" s="139"/>
      <c r="C218" s="7"/>
      <c r="D218" s="27"/>
      <c r="E218" s="139"/>
      <c r="F218" s="7"/>
      <c r="G218" s="27"/>
    </row>
    <row r="219" spans="2:7" x14ac:dyDescent="0.25">
      <c r="B219" s="139"/>
      <c r="C219" s="7"/>
      <c r="D219" s="27"/>
      <c r="E219" s="139"/>
      <c r="F219" s="7"/>
      <c r="G219" s="27"/>
    </row>
    <row r="220" spans="2:7" x14ac:dyDescent="0.25">
      <c r="B220" s="139"/>
      <c r="C220" s="7"/>
      <c r="D220" s="27"/>
      <c r="E220" s="139"/>
      <c r="F220" s="7"/>
      <c r="G220" s="27"/>
    </row>
    <row r="221" spans="2:7" x14ac:dyDescent="0.25">
      <c r="B221" s="139"/>
      <c r="C221" s="7"/>
      <c r="D221" s="27"/>
      <c r="E221" s="139"/>
      <c r="F221" s="7"/>
      <c r="G221" s="27"/>
    </row>
    <row r="222" spans="2:7" x14ac:dyDescent="0.25">
      <c r="B222" s="139"/>
      <c r="C222" s="7"/>
      <c r="D222" s="27"/>
      <c r="E222" s="139"/>
      <c r="F222" s="7"/>
      <c r="G222" s="27"/>
    </row>
    <row r="223" spans="2:7" x14ac:dyDescent="0.25">
      <c r="B223" s="139"/>
      <c r="C223" s="7"/>
      <c r="D223" s="27"/>
      <c r="E223" s="139"/>
      <c r="F223" s="7"/>
      <c r="G223" s="27"/>
    </row>
    <row r="224" spans="2:7" x14ac:dyDescent="0.25">
      <c r="B224" s="139"/>
      <c r="C224" s="7"/>
      <c r="D224" s="27"/>
      <c r="E224" s="139"/>
      <c r="F224" s="7"/>
      <c r="G224" s="27"/>
    </row>
    <row r="225" spans="2:7" x14ac:dyDescent="0.25">
      <c r="B225" s="139"/>
      <c r="C225" s="7"/>
      <c r="D225" s="27"/>
      <c r="E225" s="139"/>
      <c r="F225" s="7"/>
      <c r="G225" s="27"/>
    </row>
    <row r="226" spans="2:7" x14ac:dyDescent="0.25">
      <c r="B226" s="139"/>
      <c r="C226" s="7"/>
      <c r="D226" s="27"/>
      <c r="E226" s="139"/>
      <c r="F226" s="7"/>
      <c r="G226" s="27"/>
    </row>
    <row r="227" spans="2:7" x14ac:dyDescent="0.25">
      <c r="B227" s="139"/>
      <c r="C227" s="7"/>
      <c r="D227" s="27"/>
      <c r="E227" s="139"/>
      <c r="F227" s="7"/>
      <c r="G227" s="27"/>
    </row>
    <row r="228" spans="2:7" x14ac:dyDescent="0.25">
      <c r="B228" s="139"/>
      <c r="C228" s="7"/>
      <c r="D228" s="27"/>
      <c r="E228" s="139"/>
      <c r="F228" s="7"/>
      <c r="G228" s="27"/>
    </row>
    <row r="229" spans="2:7" x14ac:dyDescent="0.25">
      <c r="B229" s="139"/>
      <c r="C229" s="7"/>
      <c r="D229" s="27"/>
      <c r="E229" s="139"/>
      <c r="F229" s="7"/>
      <c r="G229" s="27"/>
    </row>
    <row r="230" spans="2:7" x14ac:dyDescent="0.25">
      <c r="B230" s="139"/>
      <c r="C230" s="7"/>
      <c r="D230" s="27"/>
      <c r="E230" s="139"/>
      <c r="F230" s="7"/>
      <c r="G230" s="27"/>
    </row>
    <row r="231" spans="2:7" x14ac:dyDescent="0.25">
      <c r="B231" s="139"/>
      <c r="C231" s="7"/>
      <c r="D231" s="27"/>
      <c r="E231" s="139"/>
      <c r="F231" s="7"/>
      <c r="G231" s="27"/>
    </row>
    <row r="232" spans="2:7" x14ac:dyDescent="0.25">
      <c r="B232" s="139"/>
      <c r="C232" s="7"/>
      <c r="D232" s="27"/>
      <c r="E232" s="139"/>
      <c r="F232" s="7"/>
      <c r="G232" s="27"/>
    </row>
    <row r="233" spans="2:7" x14ac:dyDescent="0.25">
      <c r="B233" s="139"/>
      <c r="C233" s="7"/>
      <c r="D233" s="27"/>
      <c r="E233" s="139"/>
      <c r="F233" s="7"/>
      <c r="G233" s="27"/>
    </row>
    <row r="234" spans="2:7" x14ac:dyDescent="0.25">
      <c r="B234" s="139"/>
      <c r="C234" s="7"/>
      <c r="D234" s="27"/>
      <c r="E234" s="139"/>
      <c r="F234" s="7"/>
      <c r="G234" s="27"/>
    </row>
    <row r="235" spans="2:7" x14ac:dyDescent="0.25">
      <c r="B235" s="139"/>
      <c r="C235" s="7"/>
      <c r="D235" s="27"/>
      <c r="E235" s="139"/>
      <c r="F235" s="7"/>
      <c r="G235" s="27"/>
    </row>
    <row r="236" spans="2:7" x14ac:dyDescent="0.25">
      <c r="B236" s="139"/>
      <c r="C236" s="7"/>
      <c r="D236" s="27"/>
      <c r="E236" s="139"/>
      <c r="F236" s="7"/>
      <c r="G236" s="27"/>
    </row>
    <row r="237" spans="2:7" x14ac:dyDescent="0.25">
      <c r="B237" s="139"/>
      <c r="C237" s="7"/>
      <c r="D237" s="27"/>
      <c r="E237" s="139"/>
      <c r="F237" s="7"/>
      <c r="G237" s="27"/>
    </row>
    <row r="238" spans="2:7" x14ac:dyDescent="0.25">
      <c r="B238" s="139"/>
      <c r="C238" s="7"/>
      <c r="D238" s="27"/>
      <c r="E238" s="139"/>
      <c r="F238" s="7"/>
      <c r="G238" s="27"/>
    </row>
    <row r="239" spans="2:7" x14ac:dyDescent="0.25">
      <c r="B239" s="139"/>
      <c r="C239" s="7"/>
      <c r="D239" s="27"/>
      <c r="E239" s="139"/>
      <c r="F239" s="7"/>
      <c r="G239" s="27"/>
    </row>
    <row r="240" spans="2:7" x14ac:dyDescent="0.25">
      <c r="B240" s="139"/>
      <c r="C240" s="7"/>
      <c r="D240" s="27"/>
      <c r="E240" s="139"/>
      <c r="F240" s="7"/>
      <c r="G240" s="27"/>
    </row>
    <row r="241" spans="2:7" x14ac:dyDescent="0.25">
      <c r="B241" s="139"/>
      <c r="C241" s="7"/>
      <c r="D241" s="27"/>
      <c r="E241" s="139"/>
      <c r="F241" s="7"/>
      <c r="G241" s="27"/>
    </row>
    <row r="242" spans="2:7" x14ac:dyDescent="0.25">
      <c r="B242" s="139"/>
      <c r="C242" s="7"/>
      <c r="D242" s="27"/>
      <c r="E242" s="139"/>
      <c r="F242" s="7"/>
      <c r="G242" s="27"/>
    </row>
    <row r="243" spans="2:7" x14ac:dyDescent="0.25">
      <c r="B243" s="139"/>
      <c r="C243" s="7"/>
      <c r="D243" s="27"/>
      <c r="E243" s="139"/>
      <c r="F243" s="7"/>
      <c r="G243" s="27"/>
    </row>
    <row r="244" spans="2:7" x14ac:dyDescent="0.25">
      <c r="B244" s="139"/>
      <c r="C244" s="7"/>
      <c r="D244" s="27"/>
      <c r="E244" s="139"/>
      <c r="F244" s="7"/>
      <c r="G244" s="27"/>
    </row>
    <row r="245" spans="2:7" x14ac:dyDescent="0.25">
      <c r="B245" s="139"/>
      <c r="C245" s="7"/>
      <c r="D245" s="27"/>
      <c r="E245" s="139"/>
      <c r="F245" s="7"/>
      <c r="G245" s="27"/>
    </row>
    <row r="246" spans="2:7" x14ac:dyDescent="0.25">
      <c r="B246" s="139"/>
      <c r="C246" s="7"/>
      <c r="D246" s="27"/>
      <c r="E246" s="139"/>
      <c r="F246" s="7"/>
      <c r="G246" s="27"/>
    </row>
    <row r="247" spans="2:7" x14ac:dyDescent="0.25">
      <c r="B247" s="139"/>
      <c r="C247" s="7"/>
      <c r="D247" s="27"/>
      <c r="E247" s="139"/>
      <c r="F247" s="7"/>
      <c r="G247" s="27"/>
    </row>
    <row r="248" spans="2:7" x14ac:dyDescent="0.25">
      <c r="B248" s="139"/>
      <c r="C248" s="7"/>
      <c r="D248" s="27"/>
      <c r="E248" s="139"/>
      <c r="F248" s="7"/>
      <c r="G248" s="27"/>
    </row>
    <row r="249" spans="2:7" x14ac:dyDescent="0.25">
      <c r="B249" s="139"/>
      <c r="C249" s="7"/>
      <c r="D249" s="27"/>
      <c r="E249" s="139"/>
      <c r="F249" s="7"/>
      <c r="G249" s="27"/>
    </row>
    <row r="250" spans="2:7" x14ac:dyDescent="0.25">
      <c r="B250" s="139"/>
      <c r="C250" s="7"/>
      <c r="D250" s="27"/>
      <c r="E250" s="139"/>
      <c r="F250" s="7"/>
      <c r="G250" s="27"/>
    </row>
    <row r="251" spans="2:7" x14ac:dyDescent="0.25">
      <c r="B251" s="139"/>
      <c r="C251" s="7"/>
      <c r="D251" s="27"/>
      <c r="E251" s="139"/>
      <c r="F251" s="7"/>
      <c r="G251" s="27"/>
    </row>
    <row r="252" spans="2:7" x14ac:dyDescent="0.25">
      <c r="B252" s="139"/>
      <c r="C252" s="7"/>
      <c r="D252" s="27"/>
      <c r="E252" s="139"/>
      <c r="F252" s="7"/>
      <c r="G252" s="27"/>
    </row>
    <row r="253" spans="2:7" x14ac:dyDescent="0.25">
      <c r="B253" s="139"/>
      <c r="C253" s="7"/>
      <c r="D253" s="27"/>
      <c r="E253" s="139"/>
      <c r="F253" s="7"/>
      <c r="G253" s="27"/>
    </row>
    <row r="254" spans="2:7" x14ac:dyDescent="0.25">
      <c r="B254" s="139"/>
      <c r="C254" s="7"/>
      <c r="D254" s="27"/>
      <c r="E254" s="139"/>
      <c r="F254" s="7"/>
      <c r="G254" s="27"/>
    </row>
    <row r="255" spans="2:7" x14ac:dyDescent="0.25">
      <c r="B255" s="139"/>
      <c r="C255" s="7"/>
      <c r="D255" s="27"/>
      <c r="E255" s="139"/>
      <c r="F255" s="7"/>
      <c r="G255" s="27"/>
    </row>
    <row r="256" spans="2:7" x14ac:dyDescent="0.25">
      <c r="B256" s="139"/>
      <c r="C256" s="7"/>
      <c r="D256" s="27"/>
      <c r="E256" s="139"/>
      <c r="F256" s="7"/>
      <c r="G256" s="27"/>
    </row>
    <row r="257" spans="2:7" x14ac:dyDescent="0.25">
      <c r="B257" s="139"/>
      <c r="C257" s="7"/>
      <c r="D257" s="27"/>
      <c r="E257" s="139"/>
      <c r="F257" s="7"/>
      <c r="G257" s="27"/>
    </row>
    <row r="258" spans="2:7" x14ac:dyDescent="0.25">
      <c r="B258" s="139"/>
      <c r="C258" s="7"/>
      <c r="D258" s="27"/>
      <c r="E258" s="139"/>
      <c r="F258" s="7"/>
      <c r="G258" s="27"/>
    </row>
    <row r="259" spans="2:7" x14ac:dyDescent="0.25">
      <c r="B259" s="139"/>
      <c r="C259" s="7"/>
      <c r="D259" s="27"/>
      <c r="E259" s="139"/>
      <c r="F259" s="7"/>
      <c r="G259" s="27"/>
    </row>
    <row r="260" spans="2:7" x14ac:dyDescent="0.25">
      <c r="B260" s="139"/>
      <c r="C260" s="7"/>
      <c r="D260" s="27"/>
      <c r="E260" s="139"/>
      <c r="F260" s="7"/>
      <c r="G260" s="27"/>
    </row>
    <row r="261" spans="2:7" x14ac:dyDescent="0.25">
      <c r="B261" s="139"/>
      <c r="C261" s="7"/>
      <c r="D261" s="27"/>
      <c r="E261" s="139"/>
      <c r="F261" s="7"/>
      <c r="G261" s="27"/>
    </row>
    <row r="262" spans="2:7" x14ac:dyDescent="0.25">
      <c r="B262" s="139"/>
      <c r="C262" s="7"/>
      <c r="D262" s="27"/>
      <c r="E262" s="139"/>
      <c r="F262" s="7"/>
      <c r="G262" s="27"/>
    </row>
    <row r="263" spans="2:7" x14ac:dyDescent="0.25">
      <c r="B263" s="139"/>
      <c r="C263" s="7"/>
      <c r="D263" s="27"/>
      <c r="E263" s="139"/>
      <c r="F263" s="7"/>
      <c r="G263" s="27"/>
    </row>
    <row r="264" spans="2:7" x14ac:dyDescent="0.25">
      <c r="B264" s="139"/>
      <c r="C264" s="7"/>
      <c r="D264" s="27"/>
      <c r="E264" s="139"/>
      <c r="F264" s="7"/>
      <c r="G264" s="27"/>
    </row>
    <row r="265" spans="2:7" x14ac:dyDescent="0.25">
      <c r="B265" s="139"/>
      <c r="C265" s="7"/>
      <c r="D265" s="27"/>
      <c r="E265" s="139"/>
      <c r="F265" s="7"/>
      <c r="G265" s="27"/>
    </row>
    <row r="266" spans="2:7" x14ac:dyDescent="0.25">
      <c r="B266" s="139"/>
      <c r="C266" s="7"/>
      <c r="D266" s="27"/>
      <c r="E266" s="139"/>
      <c r="F266" s="7"/>
      <c r="G266" s="27"/>
    </row>
    <row r="267" spans="2:7" x14ac:dyDescent="0.25">
      <c r="B267" s="139"/>
      <c r="C267" s="7"/>
      <c r="D267" s="27"/>
      <c r="E267" s="139"/>
      <c r="F267" s="7"/>
      <c r="G267" s="27"/>
    </row>
    <row r="268" spans="2:7" x14ac:dyDescent="0.25">
      <c r="B268" s="139"/>
      <c r="C268" s="7"/>
      <c r="D268" s="27"/>
      <c r="E268" s="139"/>
      <c r="F268" s="7"/>
      <c r="G268" s="27"/>
    </row>
    <row r="269" spans="2:7" x14ac:dyDescent="0.25">
      <c r="B269" s="139"/>
      <c r="C269" s="7"/>
      <c r="D269" s="27"/>
      <c r="E269" s="139"/>
      <c r="F269" s="7"/>
      <c r="G269" s="27"/>
    </row>
    <row r="270" spans="2:7" x14ac:dyDescent="0.25">
      <c r="B270" s="139"/>
      <c r="C270" s="7"/>
      <c r="D270" s="27"/>
      <c r="E270" s="139"/>
      <c r="F270" s="7"/>
      <c r="G270" s="27"/>
    </row>
    <row r="271" spans="2:7" x14ac:dyDescent="0.25">
      <c r="B271" s="139"/>
      <c r="C271" s="7"/>
      <c r="D271" s="27"/>
      <c r="E271" s="139"/>
      <c r="F271" s="7"/>
      <c r="G271" s="27"/>
    </row>
    <row r="272" spans="2:7" x14ac:dyDescent="0.25">
      <c r="B272" s="139"/>
      <c r="C272" s="7"/>
      <c r="D272" s="27"/>
      <c r="E272" s="139"/>
      <c r="F272" s="7"/>
      <c r="G272" s="27"/>
    </row>
    <row r="273" spans="2:7" x14ac:dyDescent="0.25">
      <c r="B273" s="139"/>
      <c r="C273" s="7"/>
      <c r="D273" s="27"/>
      <c r="E273" s="139"/>
      <c r="F273" s="7"/>
      <c r="G273" s="27"/>
    </row>
    <row r="274" spans="2:7" x14ac:dyDescent="0.25">
      <c r="B274" s="139"/>
      <c r="C274" s="7"/>
      <c r="D274" s="27"/>
      <c r="E274" s="139"/>
      <c r="F274" s="7"/>
      <c r="G274" s="27"/>
    </row>
    <row r="275" spans="2:7" x14ac:dyDescent="0.25">
      <c r="B275" s="139"/>
      <c r="C275" s="7"/>
      <c r="D275" s="27"/>
      <c r="E275" s="139"/>
      <c r="F275" s="7"/>
      <c r="G275" s="27"/>
    </row>
    <row r="276" spans="2:7" x14ac:dyDescent="0.25">
      <c r="B276" s="139"/>
      <c r="C276" s="7"/>
      <c r="D276" s="27"/>
      <c r="E276" s="139"/>
      <c r="F276" s="7"/>
      <c r="G276" s="27"/>
    </row>
    <row r="277" spans="2:7" x14ac:dyDescent="0.25">
      <c r="B277" s="139"/>
      <c r="C277" s="7"/>
      <c r="D277" s="27"/>
      <c r="E277" s="139"/>
      <c r="F277" s="7"/>
      <c r="G277" s="27"/>
    </row>
    <row r="278" spans="2:7" x14ac:dyDescent="0.25">
      <c r="B278" s="139"/>
      <c r="C278" s="7"/>
      <c r="D278" s="27"/>
      <c r="E278" s="139"/>
      <c r="F278" s="7"/>
      <c r="G278" s="27"/>
    </row>
    <row r="279" spans="2:7" x14ac:dyDescent="0.25">
      <c r="B279" s="139"/>
      <c r="C279" s="7"/>
      <c r="D279" s="27"/>
      <c r="E279" s="139"/>
      <c r="F279" s="7"/>
      <c r="G279" s="27"/>
    </row>
    <row r="280" spans="2:7" x14ac:dyDescent="0.25">
      <c r="B280" s="139"/>
      <c r="C280" s="7"/>
      <c r="D280" s="27"/>
      <c r="E280" s="139"/>
      <c r="F280" s="7"/>
      <c r="G280" s="27"/>
    </row>
    <row r="281" spans="2:7" x14ac:dyDescent="0.25">
      <c r="B281" s="139"/>
      <c r="C281" s="7"/>
      <c r="D281" s="27"/>
      <c r="E281" s="139"/>
      <c r="F281" s="7"/>
      <c r="G281" s="27"/>
    </row>
    <row r="282" spans="2:7" x14ac:dyDescent="0.25">
      <c r="B282" s="139"/>
      <c r="C282" s="7"/>
      <c r="D282" s="27"/>
      <c r="E282" s="139"/>
      <c r="F282" s="7"/>
      <c r="G282" s="27"/>
    </row>
    <row r="283" spans="2:7" x14ac:dyDescent="0.25">
      <c r="B283" s="139"/>
      <c r="C283" s="7"/>
      <c r="D283" s="27"/>
      <c r="E283" s="139"/>
      <c r="F283" s="7"/>
      <c r="G283" s="27"/>
    </row>
    <row r="284" spans="2:7" x14ac:dyDescent="0.25">
      <c r="B284" s="139"/>
      <c r="C284" s="7"/>
      <c r="D284" s="27"/>
      <c r="E284" s="139"/>
      <c r="F284" s="7"/>
      <c r="G284" s="27"/>
    </row>
    <row r="285" spans="2:7" x14ac:dyDescent="0.25">
      <c r="B285" s="139"/>
      <c r="C285" s="7"/>
      <c r="D285" s="27"/>
      <c r="E285" s="139"/>
      <c r="F285" s="7"/>
      <c r="G285" s="27"/>
    </row>
    <row r="286" spans="2:7" x14ac:dyDescent="0.25">
      <c r="B286" s="139"/>
      <c r="C286" s="7"/>
      <c r="D286" s="27"/>
      <c r="E286" s="139"/>
      <c r="F286" s="7"/>
      <c r="G286" s="27"/>
    </row>
    <row r="287" spans="2:7" x14ac:dyDescent="0.25">
      <c r="B287" s="139"/>
      <c r="C287" s="7"/>
      <c r="D287" s="27"/>
      <c r="E287" s="139"/>
      <c r="F287" s="7"/>
      <c r="G287" s="27"/>
    </row>
    <row r="288" spans="2:7" x14ac:dyDescent="0.25">
      <c r="B288" s="139"/>
      <c r="C288" s="7"/>
      <c r="D288" s="27"/>
      <c r="E288" s="139"/>
      <c r="F288" s="7"/>
      <c r="G288" s="27"/>
    </row>
    <row r="289" spans="2:7" x14ac:dyDescent="0.25">
      <c r="B289" s="139"/>
      <c r="C289" s="7"/>
      <c r="D289" s="27"/>
      <c r="E289" s="139"/>
      <c r="F289" s="7"/>
      <c r="G289" s="27"/>
    </row>
    <row r="290" spans="2:7" x14ac:dyDescent="0.25">
      <c r="B290" s="139"/>
      <c r="C290" s="7"/>
      <c r="D290" s="27"/>
      <c r="E290" s="139"/>
      <c r="F290" s="7"/>
      <c r="G290" s="27"/>
    </row>
    <row r="291" spans="2:7" x14ac:dyDescent="0.25">
      <c r="B291" s="139"/>
      <c r="C291" s="7"/>
      <c r="D291" s="27"/>
      <c r="E291" s="139"/>
      <c r="F291" s="7"/>
      <c r="G291" s="27"/>
    </row>
    <row r="292" spans="2:7" x14ac:dyDescent="0.25">
      <c r="B292" s="139"/>
      <c r="C292" s="7"/>
      <c r="D292" s="27"/>
      <c r="E292" s="139"/>
      <c r="F292" s="7"/>
      <c r="G292" s="27"/>
    </row>
    <row r="293" spans="2:7" x14ac:dyDescent="0.25">
      <c r="B293" s="139"/>
      <c r="C293" s="7"/>
      <c r="D293" s="27"/>
      <c r="E293" s="139"/>
      <c r="F293" s="7"/>
      <c r="G293" s="27"/>
    </row>
    <row r="294" spans="2:7" x14ac:dyDescent="0.25">
      <c r="B294" s="139"/>
      <c r="C294" s="7"/>
      <c r="D294" s="27"/>
      <c r="E294" s="139"/>
      <c r="F294" s="7"/>
      <c r="G294" s="27"/>
    </row>
    <row r="295" spans="2:7" x14ac:dyDescent="0.25">
      <c r="B295" s="139"/>
      <c r="C295" s="7"/>
      <c r="D295" s="27"/>
      <c r="E295" s="139"/>
      <c r="F295" s="7"/>
      <c r="G295" s="27"/>
    </row>
    <row r="296" spans="2:7" x14ac:dyDescent="0.25">
      <c r="B296" s="139"/>
      <c r="C296" s="7"/>
      <c r="D296" s="27"/>
      <c r="E296" s="139"/>
      <c r="F296" s="7"/>
      <c r="G296" s="27"/>
    </row>
    <row r="297" spans="2:7" x14ac:dyDescent="0.25">
      <c r="B297" s="139"/>
      <c r="C297" s="7"/>
      <c r="D297" s="27"/>
      <c r="E297" s="139"/>
      <c r="F297" s="7"/>
      <c r="G297" s="27"/>
    </row>
    <row r="298" spans="2:7" x14ac:dyDescent="0.25">
      <c r="B298" s="139"/>
      <c r="C298" s="7"/>
      <c r="D298" s="27"/>
      <c r="E298" s="139"/>
      <c r="F298" s="7"/>
      <c r="G298" s="27"/>
    </row>
    <row r="299" spans="2:7" x14ac:dyDescent="0.25">
      <c r="B299" s="139"/>
      <c r="C299" s="7"/>
      <c r="D299" s="27"/>
      <c r="E299" s="139"/>
      <c r="F299" s="7"/>
      <c r="G299" s="27"/>
    </row>
    <row r="300" spans="2:7" x14ac:dyDescent="0.25">
      <c r="B300" s="139"/>
      <c r="C300" s="7"/>
      <c r="D300" s="27"/>
      <c r="E300" s="139"/>
      <c r="F300" s="7"/>
      <c r="G300" s="27"/>
    </row>
    <row r="301" spans="2:7" x14ac:dyDescent="0.25">
      <c r="B301" s="139"/>
      <c r="C301" s="7"/>
      <c r="D301" s="27"/>
      <c r="E301" s="139"/>
      <c r="F301" s="7"/>
      <c r="G301" s="27"/>
    </row>
    <row r="302" spans="2:7" x14ac:dyDescent="0.25">
      <c r="B302" s="139"/>
      <c r="C302" s="7"/>
      <c r="D302" s="27"/>
      <c r="E302" s="139"/>
      <c r="F302" s="7"/>
      <c r="G302" s="27"/>
    </row>
    <row r="303" spans="2:7" x14ac:dyDescent="0.25">
      <c r="B303" s="139"/>
      <c r="C303" s="7"/>
      <c r="D303" s="27"/>
      <c r="E303" s="139"/>
      <c r="F303" s="7"/>
      <c r="G303" s="27"/>
    </row>
    <row r="304" spans="2:7" x14ac:dyDescent="0.25">
      <c r="B304" s="139"/>
      <c r="C304" s="7"/>
      <c r="D304" s="27"/>
      <c r="E304" s="139"/>
      <c r="F304" s="7"/>
      <c r="G304" s="27"/>
    </row>
    <row r="305" spans="2:7" x14ac:dyDescent="0.25">
      <c r="B305" s="139"/>
      <c r="C305" s="7"/>
      <c r="D305" s="27"/>
      <c r="E305" s="139"/>
      <c r="F305" s="7"/>
      <c r="G305" s="27"/>
    </row>
    <row r="306" spans="2:7" x14ac:dyDescent="0.25">
      <c r="B306" s="139"/>
      <c r="C306" s="7"/>
      <c r="D306" s="27"/>
      <c r="E306" s="139"/>
      <c r="F306" s="7"/>
      <c r="G306" s="27"/>
    </row>
    <row r="307" spans="2:7" x14ac:dyDescent="0.25">
      <c r="B307" s="139"/>
      <c r="C307" s="7"/>
      <c r="D307" s="27"/>
      <c r="E307" s="139"/>
      <c r="F307" s="7"/>
      <c r="G307" s="27"/>
    </row>
    <row r="308" spans="2:7" x14ac:dyDescent="0.25">
      <c r="B308" s="139"/>
      <c r="C308" s="7"/>
      <c r="D308" s="27"/>
      <c r="E308" s="139"/>
      <c r="F308" s="7"/>
      <c r="G308" s="27"/>
    </row>
    <row r="309" spans="2:7" x14ac:dyDescent="0.25">
      <c r="B309" s="139"/>
      <c r="C309" s="7"/>
      <c r="D309" s="27"/>
      <c r="E309" s="139"/>
      <c r="F309" s="7"/>
      <c r="G309" s="27"/>
    </row>
    <row r="310" spans="2:7" x14ac:dyDescent="0.25">
      <c r="B310" s="139"/>
      <c r="C310" s="7"/>
      <c r="D310" s="27"/>
      <c r="E310" s="139"/>
      <c r="F310" s="7"/>
      <c r="G310" s="27"/>
    </row>
    <row r="311" spans="2:7" x14ac:dyDescent="0.25">
      <c r="B311" s="139"/>
      <c r="C311" s="7"/>
      <c r="D311" s="27"/>
      <c r="E311" s="139"/>
      <c r="F311" s="7"/>
      <c r="G311" s="27"/>
    </row>
    <row r="312" spans="2:7" x14ac:dyDescent="0.25">
      <c r="B312" s="139"/>
      <c r="C312" s="7"/>
      <c r="D312" s="27"/>
      <c r="E312" s="139"/>
      <c r="F312" s="7"/>
      <c r="G312" s="27"/>
    </row>
    <row r="313" spans="2:7" x14ac:dyDescent="0.25">
      <c r="B313" s="139"/>
      <c r="C313" s="7"/>
      <c r="D313" s="27"/>
      <c r="E313" s="139"/>
      <c r="F313" s="7"/>
      <c r="G313" s="27"/>
    </row>
    <row r="314" spans="2:7" x14ac:dyDescent="0.25">
      <c r="B314" s="139"/>
      <c r="C314" s="7"/>
      <c r="D314" s="27"/>
      <c r="E314" s="139"/>
      <c r="F314" s="7"/>
      <c r="G314" s="27"/>
    </row>
    <row r="315" spans="2:7" x14ac:dyDescent="0.25">
      <c r="B315" s="139"/>
      <c r="C315" s="7"/>
      <c r="D315" s="27"/>
      <c r="E315" s="139"/>
      <c r="F315" s="7"/>
      <c r="G315" s="27"/>
    </row>
    <row r="316" spans="2:7" x14ac:dyDescent="0.25">
      <c r="B316" s="139"/>
      <c r="C316" s="7"/>
      <c r="D316" s="27"/>
      <c r="E316" s="139"/>
      <c r="F316" s="7"/>
      <c r="G316" s="27"/>
    </row>
    <row r="317" spans="2:7" x14ac:dyDescent="0.25">
      <c r="B317" s="139"/>
      <c r="C317" s="7"/>
      <c r="D317" s="27"/>
      <c r="E317" s="139"/>
      <c r="F317" s="7"/>
      <c r="G317" s="27"/>
    </row>
    <row r="318" spans="2:7" x14ac:dyDescent="0.25">
      <c r="B318" s="139"/>
      <c r="C318" s="7"/>
      <c r="D318" s="27"/>
      <c r="E318" s="139"/>
      <c r="F318" s="7"/>
      <c r="G318" s="27"/>
    </row>
    <row r="319" spans="2:7" x14ac:dyDescent="0.25">
      <c r="B319" s="139"/>
      <c r="C319" s="7"/>
      <c r="D319" s="27"/>
      <c r="E319" s="139"/>
      <c r="F319" s="7"/>
      <c r="G319" s="27"/>
    </row>
    <row r="320" spans="2:7" x14ac:dyDescent="0.25">
      <c r="B320" s="139"/>
      <c r="C320" s="7"/>
      <c r="D320" s="27"/>
      <c r="E320" s="139"/>
      <c r="F320" s="7"/>
      <c r="G320" s="27"/>
    </row>
    <row r="321" spans="2:7" x14ac:dyDescent="0.25">
      <c r="B321" s="139"/>
      <c r="C321" s="7"/>
      <c r="D321" s="27"/>
      <c r="E321" s="139"/>
      <c r="F321" s="7"/>
      <c r="G321" s="27"/>
    </row>
    <row r="322" spans="2:7" x14ac:dyDescent="0.25">
      <c r="B322" s="139"/>
      <c r="C322" s="7"/>
      <c r="D322" s="27"/>
      <c r="E322" s="139"/>
      <c r="F322" s="7"/>
      <c r="G322" s="27"/>
    </row>
    <row r="323" spans="2:7" x14ac:dyDescent="0.25">
      <c r="B323" s="139"/>
      <c r="C323" s="7"/>
      <c r="D323" s="27"/>
      <c r="E323" s="139"/>
      <c r="F323" s="7"/>
      <c r="G323" s="27"/>
    </row>
    <row r="324" spans="2:7" x14ac:dyDescent="0.25">
      <c r="B324" s="139"/>
      <c r="C324" s="7"/>
      <c r="D324" s="27"/>
      <c r="E324" s="139"/>
      <c r="F324" s="7"/>
      <c r="G324" s="27"/>
    </row>
    <row r="325" spans="2:7" x14ac:dyDescent="0.25">
      <c r="B325" s="139"/>
      <c r="C325" s="7"/>
      <c r="D325" s="27"/>
      <c r="E325" s="139"/>
      <c r="F325" s="7"/>
      <c r="G325" s="27"/>
    </row>
    <row r="326" spans="2:7" x14ac:dyDescent="0.25">
      <c r="B326" s="139"/>
      <c r="C326" s="7"/>
      <c r="D326" s="27"/>
      <c r="E326" s="139"/>
      <c r="F326" s="7"/>
      <c r="G326" s="27"/>
    </row>
    <row r="327" spans="2:7" x14ac:dyDescent="0.25">
      <c r="B327" s="139"/>
      <c r="C327" s="7"/>
      <c r="D327" s="27"/>
      <c r="E327" s="139"/>
      <c r="F327" s="7"/>
      <c r="G327" s="27"/>
    </row>
    <row r="328" spans="2:7" x14ac:dyDescent="0.25">
      <c r="B328" s="139"/>
      <c r="C328" s="7"/>
      <c r="D328" s="27"/>
      <c r="E328" s="139"/>
      <c r="F328" s="7"/>
      <c r="G328" s="27"/>
    </row>
    <row r="329" spans="2:7" x14ac:dyDescent="0.25">
      <c r="B329" s="139"/>
      <c r="C329" s="7"/>
      <c r="D329" s="27"/>
      <c r="E329" s="139"/>
      <c r="F329" s="7"/>
      <c r="G329" s="27"/>
    </row>
    <row r="330" spans="2:7" x14ac:dyDescent="0.25">
      <c r="B330" s="139"/>
      <c r="C330" s="7"/>
      <c r="D330" s="27"/>
      <c r="E330" s="139"/>
      <c r="F330" s="7"/>
      <c r="G330" s="27"/>
    </row>
    <row r="331" spans="2:7" x14ac:dyDescent="0.25">
      <c r="B331" s="139"/>
      <c r="C331" s="7"/>
      <c r="D331" s="27"/>
      <c r="E331" s="139"/>
      <c r="F331" s="7"/>
      <c r="G331" s="27"/>
    </row>
    <row r="332" spans="2:7" x14ac:dyDescent="0.25">
      <c r="B332" s="139"/>
      <c r="C332" s="7"/>
      <c r="D332" s="27"/>
      <c r="E332" s="139"/>
      <c r="F332" s="7"/>
      <c r="G332" s="27"/>
    </row>
    <row r="333" spans="2:7" x14ac:dyDescent="0.25">
      <c r="B333" s="139"/>
      <c r="C333" s="7"/>
      <c r="D333" s="27"/>
      <c r="E333" s="139"/>
      <c r="F333" s="7"/>
      <c r="G333" s="27"/>
    </row>
    <row r="334" spans="2:7" x14ac:dyDescent="0.25">
      <c r="B334" s="139"/>
      <c r="C334" s="7"/>
      <c r="D334" s="27"/>
      <c r="E334" s="139"/>
      <c r="F334" s="7"/>
      <c r="G334" s="27"/>
    </row>
    <row r="335" spans="2:7" x14ac:dyDescent="0.25">
      <c r="B335" s="139"/>
      <c r="C335" s="7"/>
      <c r="D335" s="27"/>
      <c r="E335" s="139"/>
      <c r="F335" s="7"/>
      <c r="G335" s="27"/>
    </row>
    <row r="336" spans="2:7" x14ac:dyDescent="0.25">
      <c r="B336" s="139"/>
      <c r="C336" s="7"/>
      <c r="D336" s="27"/>
      <c r="E336" s="139"/>
      <c r="F336" s="7"/>
      <c r="G336" s="27"/>
    </row>
    <row r="337" spans="2:7" x14ac:dyDescent="0.25">
      <c r="B337" s="139"/>
      <c r="C337" s="7"/>
      <c r="D337" s="27"/>
      <c r="E337" s="139"/>
      <c r="F337" s="7"/>
      <c r="G337" s="27"/>
    </row>
    <row r="338" spans="2:7" x14ac:dyDescent="0.25">
      <c r="B338" s="139"/>
      <c r="C338" s="7"/>
      <c r="D338" s="27"/>
      <c r="E338" s="139"/>
      <c r="F338" s="7"/>
      <c r="G338" s="27"/>
    </row>
    <row r="339" spans="2:7" x14ac:dyDescent="0.25">
      <c r="B339" s="139"/>
      <c r="C339" s="7"/>
      <c r="D339" s="27"/>
      <c r="E339" s="139"/>
      <c r="F339" s="7"/>
      <c r="G339" s="27"/>
    </row>
    <row r="340" spans="2:7" x14ac:dyDescent="0.25">
      <c r="B340" s="139"/>
      <c r="C340" s="7"/>
      <c r="D340" s="27"/>
      <c r="E340" s="139"/>
      <c r="F340" s="7"/>
      <c r="G340" s="27"/>
    </row>
    <row r="341" spans="2:7" x14ac:dyDescent="0.25">
      <c r="B341" s="139"/>
      <c r="C341" s="7"/>
      <c r="D341" s="27"/>
      <c r="E341" s="139"/>
      <c r="F341" s="7"/>
      <c r="G341" s="27"/>
    </row>
    <row r="342" spans="2:7" ht="15.75" thickBot="1" x14ac:dyDescent="0.3">
      <c r="B342" s="140"/>
      <c r="C342" s="141"/>
      <c r="D342" s="142"/>
      <c r="E342" s="140"/>
      <c r="F342" s="141"/>
      <c r="G342" s="142"/>
    </row>
  </sheetData>
  <mergeCells count="2">
    <mergeCell ref="B1:D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D9B3-6DAC-4965-8216-D9F3E3BA084D}">
  <dimension ref="A1:F482"/>
  <sheetViews>
    <sheetView topLeftCell="A65" workbookViewId="0">
      <selection activeCell="I8" sqref="I8"/>
    </sheetView>
  </sheetViews>
  <sheetFormatPr baseColWidth="10" defaultColWidth="10.7109375" defaultRowHeight="15" x14ac:dyDescent="0.25"/>
  <cols>
    <col min="1" max="1" width="11.42578125"/>
    <col min="2" max="2" width="38.42578125" style="2" customWidth="1"/>
    <col min="3" max="3" width="1" style="165" customWidth="1"/>
    <col min="4" max="4" width="11.42578125" style="1"/>
  </cols>
  <sheetData>
    <row r="1" spans="1:4" ht="21.75" customHeight="1" x14ac:dyDescent="0.25">
      <c r="A1" s="123" t="s">
        <v>6</v>
      </c>
      <c r="B1" s="79" t="s">
        <v>7</v>
      </c>
      <c r="C1" s="164"/>
    </row>
    <row r="2" spans="1:4" ht="21.75" customHeight="1" x14ac:dyDescent="0.25">
      <c r="A2" s="124"/>
    </row>
    <row r="3" spans="1:4" ht="21.75" customHeight="1" x14ac:dyDescent="0.25">
      <c r="A3" s="43" t="s">
        <v>8</v>
      </c>
      <c r="B3" s="117" t="s">
        <v>9</v>
      </c>
      <c r="C3" s="120">
        <v>9.8800000000000008</v>
      </c>
      <c r="D3" s="1">
        <f>+C3*0.94</f>
        <v>9.2872000000000003</v>
      </c>
    </row>
    <row r="4" spans="1:4" ht="21.75" customHeight="1" x14ac:dyDescent="0.25">
      <c r="A4" s="43" t="s">
        <v>10</v>
      </c>
      <c r="B4" s="117" t="s">
        <v>11</v>
      </c>
      <c r="C4" s="120">
        <v>8.34</v>
      </c>
      <c r="D4" s="1">
        <f t="shared" ref="D4:D24" si="0">+C4*0.94</f>
        <v>7.839599999999999</v>
      </c>
    </row>
    <row r="5" spans="1:4" ht="21.75" customHeight="1" x14ac:dyDescent="0.25">
      <c r="A5" s="43" t="s">
        <v>12</v>
      </c>
      <c r="B5" s="117" t="s">
        <v>13</v>
      </c>
      <c r="C5" s="120">
        <v>7.27</v>
      </c>
      <c r="D5" s="1">
        <f t="shared" si="0"/>
        <v>6.8337999999999992</v>
      </c>
    </row>
    <row r="6" spans="1:4" ht="21.75" customHeight="1" x14ac:dyDescent="0.25">
      <c r="A6" s="43" t="s">
        <v>14</v>
      </c>
      <c r="B6" s="117" t="s">
        <v>15</v>
      </c>
      <c r="C6" s="120">
        <v>9.75</v>
      </c>
      <c r="D6" s="1">
        <f t="shared" si="0"/>
        <v>9.1649999999999991</v>
      </c>
    </row>
    <row r="7" spans="1:4" ht="21.75" customHeight="1" x14ac:dyDescent="0.25">
      <c r="A7" s="43" t="s">
        <v>16</v>
      </c>
      <c r="B7" s="117" t="s">
        <v>17</v>
      </c>
      <c r="C7" s="120">
        <v>12.441000000000001</v>
      </c>
      <c r="D7" s="1">
        <f t="shared" si="0"/>
        <v>11.69454</v>
      </c>
    </row>
    <row r="8" spans="1:4" ht="21.75" customHeight="1" x14ac:dyDescent="0.25">
      <c r="A8" s="43" t="s">
        <v>18</v>
      </c>
      <c r="B8" s="117" t="s">
        <v>19</v>
      </c>
      <c r="C8" s="120">
        <v>2.75</v>
      </c>
      <c r="D8" s="1">
        <f t="shared" si="0"/>
        <v>2.585</v>
      </c>
    </row>
    <row r="9" spans="1:4" ht="21.75" customHeight="1" x14ac:dyDescent="0.25">
      <c r="A9" s="43" t="s">
        <v>20</v>
      </c>
      <c r="B9" s="117" t="s">
        <v>21</v>
      </c>
      <c r="C9" s="120">
        <v>7.24</v>
      </c>
      <c r="D9" s="1">
        <f t="shared" si="0"/>
        <v>6.8056000000000001</v>
      </c>
    </row>
    <row r="10" spans="1:4" ht="21.75" customHeight="1" x14ac:dyDescent="0.25">
      <c r="A10" s="43" t="s">
        <v>22</v>
      </c>
      <c r="B10" s="117" t="s">
        <v>23</v>
      </c>
      <c r="C10" s="120">
        <v>7.8</v>
      </c>
      <c r="D10" s="1">
        <f t="shared" si="0"/>
        <v>7.3319999999999999</v>
      </c>
    </row>
    <row r="11" spans="1:4" ht="21.75" customHeight="1" x14ac:dyDescent="0.25">
      <c r="A11" s="43" t="s">
        <v>24</v>
      </c>
      <c r="B11" s="117" t="s">
        <v>25</v>
      </c>
      <c r="C11" s="120">
        <v>18.5</v>
      </c>
      <c r="D11" s="1">
        <f t="shared" si="0"/>
        <v>17.39</v>
      </c>
    </row>
    <row r="12" spans="1:4" ht="21.75" customHeight="1" x14ac:dyDescent="0.25">
      <c r="A12" s="43" t="s">
        <v>26</v>
      </c>
      <c r="B12" s="117" t="s">
        <v>27</v>
      </c>
      <c r="C12" s="120">
        <v>4.4800000000000004</v>
      </c>
      <c r="D12" s="1">
        <f t="shared" si="0"/>
        <v>4.2111999999999998</v>
      </c>
    </row>
    <row r="13" spans="1:4" ht="21.75" customHeight="1" x14ac:dyDescent="0.25">
      <c r="A13" s="43" t="s">
        <v>28</v>
      </c>
      <c r="B13" s="117" t="s">
        <v>29</v>
      </c>
      <c r="C13" s="120">
        <v>6.9</v>
      </c>
      <c r="D13" s="1">
        <f t="shared" si="0"/>
        <v>6.4859999999999998</v>
      </c>
    </row>
    <row r="14" spans="1:4" ht="21.75" customHeight="1" x14ac:dyDescent="0.25">
      <c r="A14" s="43" t="s">
        <v>30</v>
      </c>
      <c r="B14" s="117" t="s">
        <v>31</v>
      </c>
      <c r="C14" s="120">
        <v>7.51</v>
      </c>
      <c r="D14" s="1">
        <f t="shared" si="0"/>
        <v>7.0593999999999992</v>
      </c>
    </row>
    <row r="15" spans="1:4" ht="21.75" customHeight="1" x14ac:dyDescent="0.25">
      <c r="A15" s="43" t="s">
        <v>32</v>
      </c>
      <c r="B15" s="117" t="s">
        <v>33</v>
      </c>
      <c r="C15" s="120">
        <v>6.25</v>
      </c>
      <c r="D15" s="1">
        <f t="shared" si="0"/>
        <v>5.875</v>
      </c>
    </row>
    <row r="16" spans="1:4" ht="21.75" customHeight="1" x14ac:dyDescent="0.25">
      <c r="A16" s="43" t="s">
        <v>34</v>
      </c>
      <c r="B16" s="117" t="s">
        <v>35</v>
      </c>
      <c r="C16" s="120">
        <v>5.24</v>
      </c>
      <c r="D16" s="1">
        <f t="shared" si="0"/>
        <v>4.9256000000000002</v>
      </c>
    </row>
    <row r="17" spans="1:4" ht="21.75" customHeight="1" x14ac:dyDescent="0.25">
      <c r="A17" s="43"/>
      <c r="B17" s="117" t="s">
        <v>36</v>
      </c>
      <c r="C17" s="120">
        <v>5.31</v>
      </c>
      <c r="D17" s="1">
        <f t="shared" si="0"/>
        <v>4.9913999999999996</v>
      </c>
    </row>
    <row r="18" spans="1:4" ht="21.75" customHeight="1" x14ac:dyDescent="0.25">
      <c r="A18" s="43" t="s">
        <v>37</v>
      </c>
      <c r="B18" s="117" t="s">
        <v>38</v>
      </c>
      <c r="C18" s="120">
        <v>5.15</v>
      </c>
      <c r="D18" s="1">
        <f t="shared" si="0"/>
        <v>4.8410000000000002</v>
      </c>
    </row>
    <row r="19" spans="1:4" ht="21.75" customHeight="1" x14ac:dyDescent="0.25">
      <c r="A19" s="43" t="s">
        <v>39</v>
      </c>
      <c r="B19" s="117" t="s">
        <v>40</v>
      </c>
      <c r="C19" s="120">
        <v>6.89</v>
      </c>
      <c r="D19" s="1">
        <f t="shared" si="0"/>
        <v>6.4765999999999995</v>
      </c>
    </row>
    <row r="20" spans="1:4" ht="21.75" customHeight="1" x14ac:dyDescent="0.25">
      <c r="A20" s="43" t="s">
        <v>41</v>
      </c>
      <c r="B20" s="117" t="s">
        <v>42</v>
      </c>
      <c r="C20" s="120">
        <v>5.31</v>
      </c>
      <c r="D20" s="1">
        <f t="shared" si="0"/>
        <v>4.9913999999999996</v>
      </c>
    </row>
    <row r="21" spans="1:4" ht="21.75" customHeight="1" x14ac:dyDescent="0.25">
      <c r="A21" s="43" t="s">
        <v>43</v>
      </c>
      <c r="B21" s="117" t="s">
        <v>44</v>
      </c>
      <c r="C21" s="120">
        <v>6.83</v>
      </c>
      <c r="D21" s="1">
        <f t="shared" si="0"/>
        <v>6.4201999999999995</v>
      </c>
    </row>
    <row r="22" spans="1:4" ht="21.75" customHeight="1" x14ac:dyDescent="0.25">
      <c r="A22" s="43" t="s">
        <v>45</v>
      </c>
      <c r="B22" s="117" t="s">
        <v>46</v>
      </c>
      <c r="C22" s="120">
        <v>2.41</v>
      </c>
      <c r="D22" s="1">
        <f t="shared" si="0"/>
        <v>2.2654000000000001</v>
      </c>
    </row>
    <row r="23" spans="1:4" ht="21.75" customHeight="1" x14ac:dyDescent="0.25">
      <c r="A23" s="43" t="s">
        <v>47</v>
      </c>
      <c r="B23" s="117" t="s">
        <v>48</v>
      </c>
      <c r="C23" s="120">
        <v>4.7699999999999996</v>
      </c>
      <c r="D23" s="1">
        <f t="shared" si="0"/>
        <v>4.4837999999999996</v>
      </c>
    </row>
    <row r="24" spans="1:4" ht="21.75" customHeight="1" x14ac:dyDescent="0.25">
      <c r="A24" s="43" t="s">
        <v>49</v>
      </c>
      <c r="B24" s="117" t="s">
        <v>50</v>
      </c>
      <c r="C24" s="120">
        <v>17.899999999999999</v>
      </c>
      <c r="D24" s="1">
        <f t="shared" si="0"/>
        <v>16.825999999999997</v>
      </c>
    </row>
    <row r="25" spans="1:4" ht="21.75" customHeight="1" x14ac:dyDescent="0.25">
      <c r="A25" s="43"/>
      <c r="B25" s="117" t="s">
        <v>51</v>
      </c>
      <c r="C25" s="120"/>
    </row>
    <row r="26" spans="1:4" ht="21.75" customHeight="1" x14ac:dyDescent="0.25">
      <c r="A26" s="43" t="s">
        <v>52</v>
      </c>
      <c r="B26" s="117" t="s">
        <v>53</v>
      </c>
      <c r="C26" s="120">
        <v>8.7899999999999991</v>
      </c>
      <c r="D26" s="1">
        <f>+C26*0.95</f>
        <v>8.3504999999999985</v>
      </c>
    </row>
    <row r="27" spans="1:4" ht="21.75" customHeight="1" x14ac:dyDescent="0.25">
      <c r="A27" s="43" t="s">
        <v>54</v>
      </c>
      <c r="B27" s="117" t="s">
        <v>55</v>
      </c>
      <c r="C27" s="120">
        <v>0.08</v>
      </c>
      <c r="D27" s="1">
        <f t="shared" ref="D27:D55" si="1">+C27*0.95</f>
        <v>7.5999999999999998E-2</v>
      </c>
    </row>
    <row r="28" spans="1:4" ht="21.75" customHeight="1" x14ac:dyDescent="0.25">
      <c r="A28" s="43" t="s">
        <v>56</v>
      </c>
      <c r="B28" s="117" t="s">
        <v>57</v>
      </c>
      <c r="C28" s="120">
        <v>10.6</v>
      </c>
      <c r="D28" s="1">
        <f t="shared" si="1"/>
        <v>10.069999999999999</v>
      </c>
    </row>
    <row r="29" spans="1:4" ht="21.75" customHeight="1" x14ac:dyDescent="0.25">
      <c r="A29" s="43" t="s">
        <v>58</v>
      </c>
      <c r="B29" s="117" t="s">
        <v>59</v>
      </c>
      <c r="C29" s="120"/>
      <c r="D29" s="1">
        <f t="shared" si="1"/>
        <v>0</v>
      </c>
    </row>
    <row r="30" spans="1:4" ht="21.75" customHeight="1" x14ac:dyDescent="0.25">
      <c r="A30" s="43" t="s">
        <v>60</v>
      </c>
      <c r="B30" s="117" t="s">
        <v>61</v>
      </c>
      <c r="C30" s="120">
        <v>1.5</v>
      </c>
      <c r="D30" s="1">
        <f t="shared" si="1"/>
        <v>1.4249999999999998</v>
      </c>
    </row>
    <row r="31" spans="1:4" ht="21.75" customHeight="1" x14ac:dyDescent="0.25">
      <c r="A31" s="43" t="s">
        <v>62</v>
      </c>
      <c r="B31" s="117" t="s">
        <v>63</v>
      </c>
      <c r="C31" s="120">
        <v>9.27</v>
      </c>
      <c r="D31" s="1">
        <f t="shared" si="1"/>
        <v>8.8064999999999998</v>
      </c>
    </row>
    <row r="32" spans="1:4" ht="21.75" customHeight="1" x14ac:dyDescent="0.25">
      <c r="A32" s="43" t="s">
        <v>64</v>
      </c>
      <c r="B32" s="117" t="s">
        <v>65</v>
      </c>
      <c r="C32" s="120">
        <v>4.63</v>
      </c>
      <c r="D32" s="1">
        <f t="shared" si="1"/>
        <v>4.3984999999999994</v>
      </c>
    </row>
    <row r="33" spans="1:6" ht="21.75" customHeight="1" x14ac:dyDescent="0.25">
      <c r="A33" s="43" t="s">
        <v>66</v>
      </c>
      <c r="B33" s="117" t="s">
        <v>67</v>
      </c>
      <c r="C33" s="120">
        <v>8.3000000000000007</v>
      </c>
      <c r="D33" s="1">
        <f t="shared" si="1"/>
        <v>7.8850000000000007</v>
      </c>
    </row>
    <row r="34" spans="1:6" ht="21.75" customHeight="1" x14ac:dyDescent="0.25">
      <c r="A34" s="43" t="s">
        <v>68</v>
      </c>
      <c r="B34" s="117" t="s">
        <v>69</v>
      </c>
      <c r="C34" s="120">
        <v>8.23</v>
      </c>
      <c r="D34" s="1">
        <f t="shared" si="1"/>
        <v>7.8185000000000002</v>
      </c>
    </row>
    <row r="35" spans="1:6" ht="21.75" customHeight="1" x14ac:dyDescent="0.25">
      <c r="A35" s="43" t="s">
        <v>70</v>
      </c>
      <c r="B35" s="117" t="s">
        <v>71</v>
      </c>
      <c r="C35" s="120">
        <v>7.34</v>
      </c>
      <c r="D35" s="1">
        <f t="shared" si="1"/>
        <v>6.9729999999999999</v>
      </c>
    </row>
    <row r="36" spans="1:6" ht="21.75" customHeight="1" x14ac:dyDescent="0.25">
      <c r="A36" s="43" t="s">
        <v>72</v>
      </c>
      <c r="B36" s="117" t="s">
        <v>73</v>
      </c>
      <c r="C36" s="120">
        <v>9.1</v>
      </c>
      <c r="D36" s="1">
        <f t="shared" si="1"/>
        <v>8.6449999999999996</v>
      </c>
    </row>
    <row r="37" spans="1:6" ht="21.75" customHeight="1" x14ac:dyDescent="0.25">
      <c r="A37" s="43" t="s">
        <v>74</v>
      </c>
      <c r="B37" s="117" t="s">
        <v>75</v>
      </c>
      <c r="C37" s="120">
        <v>0.65</v>
      </c>
      <c r="D37" s="1">
        <f t="shared" si="1"/>
        <v>0.61749999999999994</v>
      </c>
    </row>
    <row r="38" spans="1:6" ht="21.75" customHeight="1" x14ac:dyDescent="0.25">
      <c r="A38" s="43" t="s">
        <v>76</v>
      </c>
      <c r="B38" s="117" t="s">
        <v>77</v>
      </c>
      <c r="C38" s="120">
        <v>2.1800000000000002</v>
      </c>
      <c r="D38" s="1">
        <f t="shared" si="1"/>
        <v>2.0710000000000002</v>
      </c>
    </row>
    <row r="39" spans="1:6" ht="21.75" customHeight="1" x14ac:dyDescent="0.25">
      <c r="A39" s="43" t="s">
        <v>78</v>
      </c>
      <c r="B39" s="117" t="s">
        <v>79</v>
      </c>
      <c r="C39" s="120">
        <v>3.51</v>
      </c>
      <c r="D39" s="1">
        <f t="shared" si="1"/>
        <v>3.3344999999999998</v>
      </c>
    </row>
    <row r="40" spans="1:6" ht="21.75" customHeight="1" x14ac:dyDescent="0.25">
      <c r="A40" s="43" t="s">
        <v>80</v>
      </c>
      <c r="B40" s="117" t="s">
        <v>81</v>
      </c>
      <c r="C40" s="120">
        <v>13.19</v>
      </c>
      <c r="D40" s="1">
        <f t="shared" si="1"/>
        <v>12.530499999999998</v>
      </c>
    </row>
    <row r="41" spans="1:6" ht="21.75" customHeight="1" x14ac:dyDescent="0.25">
      <c r="A41" s="43" t="s">
        <v>82</v>
      </c>
      <c r="B41" s="117" t="s">
        <v>83</v>
      </c>
      <c r="C41" s="120">
        <v>2.5299999999999998</v>
      </c>
      <c r="D41" s="1">
        <f t="shared" si="1"/>
        <v>2.4034999999999997</v>
      </c>
    </row>
    <row r="42" spans="1:6" ht="21.75" customHeight="1" x14ac:dyDescent="0.25">
      <c r="A42" s="43" t="s">
        <v>84</v>
      </c>
      <c r="B42" s="117" t="s">
        <v>85</v>
      </c>
      <c r="C42" s="120">
        <v>7.49</v>
      </c>
      <c r="D42" s="1">
        <f t="shared" si="1"/>
        <v>7.1154999999999999</v>
      </c>
    </row>
    <row r="43" spans="1:6" ht="21.75" customHeight="1" x14ac:dyDescent="0.25">
      <c r="A43" s="43"/>
      <c r="B43" s="117" t="s">
        <v>86</v>
      </c>
      <c r="C43" s="120">
        <v>6.7</v>
      </c>
      <c r="D43" s="1">
        <f t="shared" si="1"/>
        <v>6.3650000000000002</v>
      </c>
    </row>
    <row r="44" spans="1:6" ht="21.75" customHeight="1" x14ac:dyDescent="0.25">
      <c r="A44" s="43" t="s">
        <v>87</v>
      </c>
      <c r="B44" s="117" t="s">
        <v>88</v>
      </c>
      <c r="C44" s="120">
        <v>8.84</v>
      </c>
      <c r="D44" s="1">
        <f t="shared" si="1"/>
        <v>8.3979999999999997</v>
      </c>
      <c r="F44" t="s">
        <v>89</v>
      </c>
    </row>
    <row r="45" spans="1:6" ht="21.75" customHeight="1" x14ac:dyDescent="0.25">
      <c r="A45" s="43" t="s">
        <v>90</v>
      </c>
      <c r="B45" s="117" t="s">
        <v>91</v>
      </c>
      <c r="C45" s="120">
        <v>25.896999999999998</v>
      </c>
      <c r="D45" s="1">
        <f t="shared" si="1"/>
        <v>24.602149999999998</v>
      </c>
    </row>
    <row r="46" spans="1:6" ht="21.75" customHeight="1" x14ac:dyDescent="0.25">
      <c r="A46" s="43"/>
      <c r="B46" s="117" t="s">
        <v>92</v>
      </c>
      <c r="C46" s="120">
        <v>17.5</v>
      </c>
      <c r="D46" s="1">
        <f t="shared" si="1"/>
        <v>16.625</v>
      </c>
    </row>
    <row r="47" spans="1:6" ht="21.75" customHeight="1" x14ac:dyDescent="0.25">
      <c r="A47" s="43" t="s">
        <v>93</v>
      </c>
      <c r="B47" s="117" t="s">
        <v>94</v>
      </c>
      <c r="C47" s="120">
        <v>3.95</v>
      </c>
      <c r="D47" s="1">
        <f t="shared" si="1"/>
        <v>3.7524999999999999</v>
      </c>
    </row>
    <row r="48" spans="1:6" ht="21.75" customHeight="1" x14ac:dyDescent="0.25">
      <c r="A48" s="43" t="s">
        <v>95</v>
      </c>
      <c r="B48" s="117" t="s">
        <v>96</v>
      </c>
      <c r="C48" s="120">
        <v>22.5</v>
      </c>
      <c r="D48" s="1">
        <f t="shared" si="1"/>
        <v>21.375</v>
      </c>
    </row>
    <row r="49" spans="1:4" ht="21.75" customHeight="1" x14ac:dyDescent="0.25">
      <c r="A49" s="43" t="s">
        <v>97</v>
      </c>
      <c r="B49" s="117" t="s">
        <v>98</v>
      </c>
      <c r="C49" s="120">
        <v>26.5</v>
      </c>
      <c r="D49" s="1">
        <f t="shared" si="1"/>
        <v>25.174999999999997</v>
      </c>
    </row>
    <row r="50" spans="1:4" ht="21.75" customHeight="1" x14ac:dyDescent="0.25">
      <c r="A50" s="43" t="s">
        <v>99</v>
      </c>
      <c r="B50" s="117" t="s">
        <v>100</v>
      </c>
      <c r="C50" s="120">
        <v>16.88</v>
      </c>
      <c r="D50" s="1">
        <f t="shared" si="1"/>
        <v>16.035999999999998</v>
      </c>
    </row>
    <row r="51" spans="1:4" ht="21.75" customHeight="1" x14ac:dyDescent="0.25">
      <c r="A51" s="43" t="s">
        <v>101</v>
      </c>
      <c r="B51" s="117" t="s">
        <v>102</v>
      </c>
      <c r="C51" s="120">
        <v>42.8</v>
      </c>
      <c r="D51" s="1">
        <f t="shared" si="1"/>
        <v>40.659999999999997</v>
      </c>
    </row>
    <row r="52" spans="1:4" ht="21.75" customHeight="1" x14ac:dyDescent="0.25">
      <c r="A52" s="43" t="s">
        <v>103</v>
      </c>
      <c r="B52" s="117" t="s">
        <v>104</v>
      </c>
      <c r="C52" s="120">
        <v>32.58</v>
      </c>
      <c r="D52" s="1">
        <f t="shared" si="1"/>
        <v>30.950999999999997</v>
      </c>
    </row>
    <row r="53" spans="1:4" ht="21.75" customHeight="1" x14ac:dyDescent="0.25">
      <c r="A53" s="43"/>
      <c r="B53" s="117" t="s">
        <v>105</v>
      </c>
      <c r="C53" s="120">
        <v>0.02</v>
      </c>
      <c r="D53" s="1">
        <f t="shared" si="1"/>
        <v>1.9E-2</v>
      </c>
    </row>
    <row r="54" spans="1:4" ht="21.75" customHeight="1" x14ac:dyDescent="0.25">
      <c r="A54" s="43" t="s">
        <v>106</v>
      </c>
      <c r="B54" s="117" t="s">
        <v>107</v>
      </c>
      <c r="C54" s="120">
        <v>16.62</v>
      </c>
      <c r="D54" s="1">
        <f t="shared" si="1"/>
        <v>15.789</v>
      </c>
    </row>
    <row r="55" spans="1:4" ht="21.75" customHeight="1" x14ac:dyDescent="0.25">
      <c r="A55" s="43" t="s">
        <v>108</v>
      </c>
      <c r="B55" s="117" t="s">
        <v>109</v>
      </c>
      <c r="C55" s="120">
        <v>74.459999999999994</v>
      </c>
      <c r="D55" s="1">
        <f t="shared" si="1"/>
        <v>70.736999999999995</v>
      </c>
    </row>
    <row r="56" spans="1:4" ht="21.75" customHeight="1" x14ac:dyDescent="0.25">
      <c r="A56" s="43"/>
      <c r="B56" s="117" t="s">
        <v>110</v>
      </c>
      <c r="C56" s="120"/>
    </row>
    <row r="57" spans="1:4" ht="21.75" customHeight="1" x14ac:dyDescent="0.25">
      <c r="A57" s="43" t="s">
        <v>111</v>
      </c>
      <c r="B57" s="117" t="s">
        <v>112</v>
      </c>
      <c r="C57" s="120">
        <v>4.3899999999999997</v>
      </c>
      <c r="D57" s="1">
        <f>+C57*0.95</f>
        <v>4.1704999999999997</v>
      </c>
    </row>
    <row r="58" spans="1:4" ht="21.75" customHeight="1" x14ac:dyDescent="0.25">
      <c r="A58" s="43" t="s">
        <v>113</v>
      </c>
      <c r="B58" s="117" t="s">
        <v>114</v>
      </c>
      <c r="C58" s="120">
        <v>3.79</v>
      </c>
      <c r="D58" s="1">
        <f t="shared" ref="D58:D121" si="2">+C58*0.95</f>
        <v>3.6004999999999998</v>
      </c>
    </row>
    <row r="59" spans="1:4" ht="21.75" customHeight="1" x14ac:dyDescent="0.25">
      <c r="A59" s="43" t="s">
        <v>115</v>
      </c>
      <c r="B59" s="117" t="s">
        <v>116</v>
      </c>
      <c r="C59" s="120">
        <v>4.29</v>
      </c>
      <c r="D59" s="1">
        <f t="shared" si="2"/>
        <v>4.0754999999999999</v>
      </c>
    </row>
    <row r="60" spans="1:4" ht="21.75" customHeight="1" x14ac:dyDescent="0.25">
      <c r="A60" s="43" t="s">
        <v>117</v>
      </c>
      <c r="B60" s="117" t="s">
        <v>118</v>
      </c>
      <c r="C60" s="120">
        <v>4.49</v>
      </c>
      <c r="D60" s="1">
        <f t="shared" si="2"/>
        <v>4.2655000000000003</v>
      </c>
    </row>
    <row r="61" spans="1:4" ht="21.75" customHeight="1" x14ac:dyDescent="0.25">
      <c r="A61" s="43" t="s">
        <v>119</v>
      </c>
      <c r="B61" s="117" t="s">
        <v>120</v>
      </c>
      <c r="C61" s="120">
        <v>5.15</v>
      </c>
      <c r="D61" s="1">
        <f t="shared" si="2"/>
        <v>4.8925000000000001</v>
      </c>
    </row>
    <row r="62" spans="1:4" ht="21.75" customHeight="1" x14ac:dyDescent="0.25">
      <c r="A62" s="43"/>
      <c r="B62" s="117" t="s">
        <v>121</v>
      </c>
      <c r="C62" s="120">
        <v>42.643999999999998</v>
      </c>
      <c r="D62" s="1">
        <f t="shared" si="2"/>
        <v>40.511799999999994</v>
      </c>
    </row>
    <row r="63" spans="1:4" ht="21.75" customHeight="1" x14ac:dyDescent="0.25">
      <c r="A63" s="43" t="s">
        <v>122</v>
      </c>
      <c r="B63" s="117" t="s">
        <v>123</v>
      </c>
      <c r="C63" s="120">
        <v>0.04</v>
      </c>
      <c r="D63" s="1">
        <f t="shared" si="2"/>
        <v>3.7999999999999999E-2</v>
      </c>
    </row>
    <row r="64" spans="1:4" ht="21.75" customHeight="1" x14ac:dyDescent="0.25">
      <c r="B64" s="117" t="s">
        <v>124</v>
      </c>
      <c r="C64" s="165">
        <v>1.73</v>
      </c>
      <c r="D64" s="1">
        <f t="shared" si="2"/>
        <v>1.6435</v>
      </c>
    </row>
    <row r="65" spans="1:6" ht="21.75" customHeight="1" x14ac:dyDescent="0.25">
      <c r="A65" s="43"/>
      <c r="B65" s="117" t="s">
        <v>125</v>
      </c>
      <c r="C65" s="120">
        <v>4.4000000000000004</v>
      </c>
      <c r="D65" s="1">
        <f t="shared" si="2"/>
        <v>4.18</v>
      </c>
    </row>
    <row r="66" spans="1:6" ht="21.75" customHeight="1" x14ac:dyDescent="0.25">
      <c r="A66" s="43" t="s">
        <v>126</v>
      </c>
      <c r="B66" s="117" t="s">
        <v>127</v>
      </c>
      <c r="C66" s="120">
        <v>0.376</v>
      </c>
      <c r="D66" s="1">
        <f t="shared" si="2"/>
        <v>0.35719999999999996</v>
      </c>
    </row>
    <row r="67" spans="1:6" ht="21.75" customHeight="1" x14ac:dyDescent="0.25">
      <c r="A67" s="43" t="s">
        <v>128</v>
      </c>
      <c r="B67" s="117" t="s">
        <v>129</v>
      </c>
      <c r="C67" s="120">
        <v>2.5</v>
      </c>
      <c r="D67" s="1">
        <f t="shared" si="2"/>
        <v>2.375</v>
      </c>
    </row>
    <row r="68" spans="1:6" ht="21.75" customHeight="1" x14ac:dyDescent="0.25">
      <c r="A68" s="43" t="s">
        <v>130</v>
      </c>
      <c r="B68" s="117" t="s">
        <v>131</v>
      </c>
      <c r="C68" s="120">
        <v>1.2</v>
      </c>
      <c r="D68" s="1">
        <f t="shared" si="2"/>
        <v>1.1399999999999999</v>
      </c>
    </row>
    <row r="69" spans="1:6" ht="21.75" customHeight="1" x14ac:dyDescent="0.25">
      <c r="A69" s="43" t="s">
        <v>132</v>
      </c>
      <c r="B69" s="117" t="s">
        <v>133</v>
      </c>
      <c r="C69" s="120">
        <v>4.55</v>
      </c>
      <c r="D69" s="1">
        <f t="shared" si="2"/>
        <v>4.3224999999999998</v>
      </c>
    </row>
    <row r="70" spans="1:6" ht="21.75" customHeight="1" x14ac:dyDescent="0.25">
      <c r="A70" s="43" t="s">
        <v>134</v>
      </c>
      <c r="B70" s="117" t="s">
        <v>135</v>
      </c>
      <c r="C70" s="120">
        <v>6.29</v>
      </c>
      <c r="D70" s="1">
        <f t="shared" si="2"/>
        <v>5.9754999999999994</v>
      </c>
    </row>
    <row r="71" spans="1:6" ht="21.75" customHeight="1" x14ac:dyDescent="0.25">
      <c r="A71" s="43" t="s">
        <v>136</v>
      </c>
      <c r="B71" s="117" t="s">
        <v>137</v>
      </c>
      <c r="C71" s="120">
        <v>3.39</v>
      </c>
      <c r="D71" s="1">
        <f t="shared" si="2"/>
        <v>3.2204999999999999</v>
      </c>
    </row>
    <row r="72" spans="1:6" ht="21.75" customHeight="1" x14ac:dyDescent="0.25">
      <c r="A72" s="43" t="s">
        <v>138</v>
      </c>
      <c r="B72" s="117" t="s">
        <v>139</v>
      </c>
      <c r="C72" s="120">
        <v>3.85</v>
      </c>
      <c r="D72" s="1">
        <f t="shared" si="2"/>
        <v>3.6574999999999998</v>
      </c>
    </row>
    <row r="73" spans="1:6" ht="21.75" customHeight="1" x14ac:dyDescent="0.25">
      <c r="A73" s="43" t="s">
        <v>140</v>
      </c>
      <c r="B73" s="117" t="s">
        <v>141</v>
      </c>
      <c r="C73" s="120">
        <v>5.39</v>
      </c>
      <c r="D73" s="1">
        <f t="shared" si="2"/>
        <v>5.1204999999999998</v>
      </c>
    </row>
    <row r="74" spans="1:6" ht="21.75" customHeight="1" x14ac:dyDescent="0.25">
      <c r="A74" s="43" t="s">
        <v>142</v>
      </c>
      <c r="B74" s="117" t="s">
        <v>143</v>
      </c>
      <c r="C74" s="120">
        <v>5.09</v>
      </c>
      <c r="D74" s="1">
        <f t="shared" si="2"/>
        <v>4.8354999999999997</v>
      </c>
    </row>
    <row r="75" spans="1:6" ht="21.75" customHeight="1" x14ac:dyDescent="0.25">
      <c r="A75" s="43" t="s">
        <v>144</v>
      </c>
      <c r="B75" s="117" t="s">
        <v>145</v>
      </c>
      <c r="C75" s="120">
        <v>9.8000000000000007</v>
      </c>
      <c r="D75" s="1">
        <f t="shared" si="2"/>
        <v>9.31</v>
      </c>
    </row>
    <row r="76" spans="1:6" ht="21.75" customHeight="1" x14ac:dyDescent="0.25">
      <c r="A76" s="43" t="s">
        <v>146</v>
      </c>
      <c r="B76" s="117" t="s">
        <v>147</v>
      </c>
      <c r="C76" s="120">
        <v>8.9600000000000009</v>
      </c>
      <c r="D76" s="1">
        <f t="shared" si="2"/>
        <v>8.5120000000000005</v>
      </c>
      <c r="F76" t="s">
        <v>148</v>
      </c>
    </row>
    <row r="77" spans="1:6" ht="21.75" customHeight="1" x14ac:dyDescent="0.25">
      <c r="A77" s="43"/>
      <c r="B77" s="117" t="s">
        <v>149</v>
      </c>
      <c r="C77" s="120">
        <v>7.68</v>
      </c>
      <c r="D77" s="1">
        <f t="shared" si="2"/>
        <v>7.2959999999999994</v>
      </c>
    </row>
    <row r="78" spans="1:6" ht="21.75" customHeight="1" x14ac:dyDescent="0.25">
      <c r="A78" s="43" t="s">
        <v>150</v>
      </c>
      <c r="B78" s="117" t="s">
        <v>151</v>
      </c>
      <c r="C78" s="120">
        <v>12.69</v>
      </c>
      <c r="D78" s="1">
        <f t="shared" si="2"/>
        <v>12.055499999999999</v>
      </c>
    </row>
    <row r="79" spans="1:6" ht="21.75" customHeight="1" x14ac:dyDescent="0.25">
      <c r="A79" s="43" t="s">
        <v>152</v>
      </c>
      <c r="B79" s="117" t="s">
        <v>153</v>
      </c>
      <c r="C79" s="120">
        <v>6.94</v>
      </c>
      <c r="D79" s="1">
        <f t="shared" si="2"/>
        <v>6.593</v>
      </c>
    </row>
    <row r="80" spans="1:6" ht="21.75" customHeight="1" x14ac:dyDescent="0.25">
      <c r="A80" s="43" t="s">
        <v>154</v>
      </c>
      <c r="B80" s="117" t="s">
        <v>155</v>
      </c>
      <c r="C80" s="120">
        <v>15.45</v>
      </c>
      <c r="D80" s="1">
        <f t="shared" si="2"/>
        <v>14.677499999999998</v>
      </c>
    </row>
    <row r="81" spans="1:4" ht="21.75" customHeight="1" x14ac:dyDescent="0.25">
      <c r="A81" s="43" t="s">
        <v>156</v>
      </c>
      <c r="B81" s="117" t="s">
        <v>157</v>
      </c>
      <c r="C81" s="120">
        <v>7.62</v>
      </c>
      <c r="D81" s="1">
        <f t="shared" si="2"/>
        <v>7.2389999999999999</v>
      </c>
    </row>
    <row r="82" spans="1:4" ht="21.75" customHeight="1" x14ac:dyDescent="0.25">
      <c r="A82" s="43" t="s">
        <v>158</v>
      </c>
      <c r="B82" s="117" t="s">
        <v>159</v>
      </c>
      <c r="C82" s="120">
        <v>0.39</v>
      </c>
      <c r="D82" s="1">
        <f t="shared" si="2"/>
        <v>0.3705</v>
      </c>
    </row>
    <row r="83" spans="1:4" ht="21.75" customHeight="1" x14ac:dyDescent="0.25">
      <c r="A83" s="43" t="s">
        <v>160</v>
      </c>
      <c r="B83" s="117" t="s">
        <v>161</v>
      </c>
      <c r="C83" s="120">
        <v>5.47</v>
      </c>
      <c r="D83" s="1">
        <f t="shared" si="2"/>
        <v>5.1964999999999995</v>
      </c>
    </row>
    <row r="84" spans="1:4" ht="21.75" customHeight="1" x14ac:dyDescent="0.25">
      <c r="A84" s="43" t="s">
        <v>162</v>
      </c>
      <c r="B84" s="117" t="s">
        <v>163</v>
      </c>
      <c r="C84" s="120">
        <v>4.49</v>
      </c>
      <c r="D84" s="1">
        <f t="shared" si="2"/>
        <v>4.2655000000000003</v>
      </c>
    </row>
    <row r="85" spans="1:4" ht="21.75" customHeight="1" x14ac:dyDescent="0.25">
      <c r="A85" s="43" t="s">
        <v>164</v>
      </c>
      <c r="B85" s="117" t="s">
        <v>165</v>
      </c>
      <c r="C85" s="120">
        <v>12.5</v>
      </c>
      <c r="D85" s="1">
        <f t="shared" si="2"/>
        <v>11.875</v>
      </c>
    </row>
    <row r="86" spans="1:4" ht="21.75" customHeight="1" x14ac:dyDescent="0.25">
      <c r="A86" s="43" t="s">
        <v>166</v>
      </c>
      <c r="B86" s="117" t="s">
        <v>167</v>
      </c>
      <c r="C86" s="120">
        <v>1.5</v>
      </c>
      <c r="D86" s="1">
        <f t="shared" si="2"/>
        <v>1.4249999999999998</v>
      </c>
    </row>
    <row r="87" spans="1:4" ht="21.75" customHeight="1" x14ac:dyDescent="0.25">
      <c r="A87" s="43"/>
      <c r="B87" s="117" t="s">
        <v>168</v>
      </c>
      <c r="C87" s="120">
        <v>5.99</v>
      </c>
      <c r="D87" s="1">
        <f t="shared" si="2"/>
        <v>5.6905000000000001</v>
      </c>
    </row>
    <row r="88" spans="1:4" ht="21.75" customHeight="1" x14ac:dyDescent="0.25">
      <c r="A88" s="43" t="s">
        <v>169</v>
      </c>
      <c r="B88" s="117" t="s">
        <v>170</v>
      </c>
      <c r="C88" s="120">
        <v>2.66</v>
      </c>
      <c r="D88" s="1">
        <f t="shared" si="2"/>
        <v>2.5270000000000001</v>
      </c>
    </row>
    <row r="89" spans="1:4" ht="21.75" customHeight="1" x14ac:dyDescent="0.25">
      <c r="A89" s="43" t="s">
        <v>171</v>
      </c>
      <c r="B89" s="117" t="s">
        <v>172</v>
      </c>
      <c r="C89" s="120">
        <v>1.95</v>
      </c>
      <c r="D89" s="1">
        <f t="shared" si="2"/>
        <v>1.8524999999999998</v>
      </c>
    </row>
    <row r="90" spans="1:4" ht="21.75" customHeight="1" x14ac:dyDescent="0.25">
      <c r="A90" s="43" t="s">
        <v>173</v>
      </c>
      <c r="B90" s="117" t="s">
        <v>174</v>
      </c>
      <c r="C90" s="120">
        <v>1.6</v>
      </c>
      <c r="D90" s="1">
        <f t="shared" si="2"/>
        <v>1.52</v>
      </c>
    </row>
    <row r="91" spans="1:4" ht="21.75" customHeight="1" x14ac:dyDescent="0.25">
      <c r="A91" s="43" t="s">
        <v>175</v>
      </c>
      <c r="B91" s="117" t="s">
        <v>176</v>
      </c>
      <c r="C91" s="120">
        <v>2.95</v>
      </c>
      <c r="D91" s="1">
        <f t="shared" si="2"/>
        <v>2.8025000000000002</v>
      </c>
    </row>
    <row r="92" spans="1:4" ht="21.75" customHeight="1" x14ac:dyDescent="0.25">
      <c r="A92" s="43" t="s">
        <v>177</v>
      </c>
      <c r="B92" s="117" t="s">
        <v>178</v>
      </c>
      <c r="C92" s="120">
        <v>1.95</v>
      </c>
      <c r="D92" s="1">
        <f t="shared" si="2"/>
        <v>1.8524999999999998</v>
      </c>
    </row>
    <row r="93" spans="1:4" ht="21.75" customHeight="1" x14ac:dyDescent="0.25">
      <c r="A93" s="43" t="s">
        <v>179</v>
      </c>
      <c r="B93" s="117" t="s">
        <v>180</v>
      </c>
      <c r="C93" s="120">
        <v>0.57399999999999995</v>
      </c>
      <c r="D93" s="1">
        <f t="shared" si="2"/>
        <v>0.5452999999999999</v>
      </c>
    </row>
    <row r="94" spans="1:4" ht="21.75" customHeight="1" x14ac:dyDescent="0.25">
      <c r="A94" s="43" t="s">
        <v>181</v>
      </c>
      <c r="B94" s="117" t="s">
        <v>182</v>
      </c>
      <c r="C94" s="120">
        <v>0.62</v>
      </c>
      <c r="D94" s="1">
        <f t="shared" si="2"/>
        <v>0.58899999999999997</v>
      </c>
    </row>
    <row r="95" spans="1:4" ht="21.75" customHeight="1" x14ac:dyDescent="0.25">
      <c r="A95" s="43" t="s">
        <v>183</v>
      </c>
      <c r="B95" s="117" t="s">
        <v>184</v>
      </c>
      <c r="C95" s="120">
        <v>0.89</v>
      </c>
      <c r="D95" s="1">
        <f t="shared" si="2"/>
        <v>0.84549999999999992</v>
      </c>
    </row>
    <row r="96" spans="1:4" ht="21.75" customHeight="1" x14ac:dyDescent="0.25">
      <c r="A96" s="43" t="s">
        <v>185</v>
      </c>
      <c r="B96" s="117" t="s">
        <v>186</v>
      </c>
      <c r="C96" s="120">
        <v>3.8</v>
      </c>
      <c r="D96" s="1">
        <f t="shared" si="2"/>
        <v>3.61</v>
      </c>
    </row>
    <row r="97" spans="1:4" ht="21.75" customHeight="1" x14ac:dyDescent="0.25">
      <c r="A97" s="43" t="s">
        <v>187</v>
      </c>
      <c r="B97" s="117" t="s">
        <v>188</v>
      </c>
      <c r="C97" s="120">
        <v>0.66</v>
      </c>
      <c r="D97" s="1">
        <f t="shared" si="2"/>
        <v>0.627</v>
      </c>
    </row>
    <row r="98" spans="1:4" ht="21.75" customHeight="1" x14ac:dyDescent="0.25">
      <c r="A98" s="43"/>
      <c r="B98" s="117" t="s">
        <v>189</v>
      </c>
      <c r="C98" s="120">
        <v>10.23</v>
      </c>
      <c r="D98" s="1">
        <f t="shared" si="2"/>
        <v>9.7185000000000006</v>
      </c>
    </row>
    <row r="99" spans="1:4" ht="21.75" customHeight="1" x14ac:dyDescent="0.25">
      <c r="A99" s="43" t="s">
        <v>190</v>
      </c>
      <c r="B99" s="117" t="s">
        <v>191</v>
      </c>
      <c r="C99" s="120">
        <v>8.64</v>
      </c>
      <c r="D99" s="1">
        <f t="shared" si="2"/>
        <v>8.2080000000000002</v>
      </c>
    </row>
    <row r="100" spans="1:4" ht="21.75" customHeight="1" x14ac:dyDescent="0.25">
      <c r="A100" s="43" t="s">
        <v>192</v>
      </c>
      <c r="B100" s="117" t="s">
        <v>193</v>
      </c>
      <c r="C100" s="120">
        <v>15.17</v>
      </c>
      <c r="D100" s="1">
        <f t="shared" si="2"/>
        <v>14.411499999999998</v>
      </c>
    </row>
    <row r="101" spans="1:4" ht="21.75" customHeight="1" x14ac:dyDescent="0.25">
      <c r="A101" s="43" t="s">
        <v>194</v>
      </c>
      <c r="B101" s="117" t="s">
        <v>195</v>
      </c>
      <c r="C101" s="120">
        <v>7.7</v>
      </c>
      <c r="D101" s="1">
        <f t="shared" si="2"/>
        <v>7.3149999999999995</v>
      </c>
    </row>
    <row r="102" spans="1:4" ht="21.75" customHeight="1" x14ac:dyDescent="0.25">
      <c r="A102" s="43" t="s">
        <v>196</v>
      </c>
      <c r="B102" s="117" t="s">
        <v>197</v>
      </c>
      <c r="C102" s="120">
        <v>6.97</v>
      </c>
      <c r="D102" s="1">
        <f t="shared" si="2"/>
        <v>6.6214999999999993</v>
      </c>
    </row>
    <row r="103" spans="1:4" ht="21.75" customHeight="1" x14ac:dyDescent="0.25">
      <c r="A103" s="43" t="s">
        <v>198</v>
      </c>
      <c r="B103" s="117" t="s">
        <v>199</v>
      </c>
      <c r="C103" s="120"/>
      <c r="D103" s="1">
        <f t="shared" si="2"/>
        <v>0</v>
      </c>
    </row>
    <row r="104" spans="1:4" ht="21.75" customHeight="1" x14ac:dyDescent="0.25">
      <c r="A104" s="43" t="s">
        <v>200</v>
      </c>
      <c r="B104" s="117" t="s">
        <v>201</v>
      </c>
      <c r="C104" s="120">
        <v>1.4</v>
      </c>
      <c r="D104" s="1">
        <f t="shared" si="2"/>
        <v>1.3299999999999998</v>
      </c>
    </row>
    <row r="105" spans="1:4" ht="21.75" customHeight="1" x14ac:dyDescent="0.25">
      <c r="A105" s="43"/>
      <c r="B105" s="117" t="s">
        <v>202</v>
      </c>
      <c r="C105" s="120">
        <v>3.1</v>
      </c>
      <c r="D105" s="1">
        <f t="shared" si="2"/>
        <v>2.9449999999999998</v>
      </c>
    </row>
    <row r="106" spans="1:4" ht="21.75" customHeight="1" x14ac:dyDescent="0.25">
      <c r="A106" s="43" t="s">
        <v>203</v>
      </c>
      <c r="B106" s="117" t="s">
        <v>204</v>
      </c>
      <c r="C106" s="120">
        <v>5.5</v>
      </c>
      <c r="D106" s="1">
        <f t="shared" si="2"/>
        <v>5.2249999999999996</v>
      </c>
    </row>
    <row r="107" spans="1:4" ht="21.75" customHeight="1" x14ac:dyDescent="0.25">
      <c r="A107" s="43" t="s">
        <v>205</v>
      </c>
      <c r="B107" s="117" t="s">
        <v>206</v>
      </c>
      <c r="C107" s="120">
        <v>6.68</v>
      </c>
      <c r="D107" s="1">
        <f t="shared" si="2"/>
        <v>6.3459999999999992</v>
      </c>
    </row>
    <row r="108" spans="1:4" ht="21.75" customHeight="1" x14ac:dyDescent="0.25">
      <c r="A108" s="43" t="s">
        <v>207</v>
      </c>
      <c r="B108" s="117" t="s">
        <v>208</v>
      </c>
      <c r="C108" s="120">
        <v>2.72</v>
      </c>
      <c r="D108" s="1">
        <f t="shared" si="2"/>
        <v>2.5840000000000001</v>
      </c>
    </row>
    <row r="109" spans="1:4" ht="21.75" customHeight="1" x14ac:dyDescent="0.25">
      <c r="A109" s="43" t="s">
        <v>209</v>
      </c>
      <c r="B109" s="117" t="s">
        <v>210</v>
      </c>
      <c r="C109" s="120">
        <v>2.72</v>
      </c>
      <c r="D109" s="1">
        <f t="shared" si="2"/>
        <v>2.5840000000000001</v>
      </c>
    </row>
    <row r="110" spans="1:4" ht="21.75" customHeight="1" x14ac:dyDescent="0.25">
      <c r="A110" s="43" t="s">
        <v>211</v>
      </c>
      <c r="B110" s="117" t="s">
        <v>212</v>
      </c>
      <c r="C110" s="120">
        <v>8.24</v>
      </c>
      <c r="D110" s="1">
        <f t="shared" si="2"/>
        <v>7.8279999999999994</v>
      </c>
    </row>
    <row r="111" spans="1:4" ht="21.75" customHeight="1" x14ac:dyDescent="0.25">
      <c r="A111" s="43" t="s">
        <v>213</v>
      </c>
      <c r="B111" s="117" t="s">
        <v>214</v>
      </c>
      <c r="C111" s="120">
        <v>1.8</v>
      </c>
      <c r="D111" s="1">
        <f t="shared" si="2"/>
        <v>1.71</v>
      </c>
    </row>
    <row r="112" spans="1:4" ht="21.75" customHeight="1" x14ac:dyDescent="0.25">
      <c r="B112" s="2" t="s">
        <v>215</v>
      </c>
      <c r="C112" s="165">
        <v>4.62</v>
      </c>
      <c r="D112" s="1">
        <f t="shared" si="2"/>
        <v>4.3890000000000002</v>
      </c>
    </row>
    <row r="113" spans="1:4" ht="21.75" customHeight="1" x14ac:dyDescent="0.25">
      <c r="A113" s="43" t="s">
        <v>216</v>
      </c>
      <c r="B113" s="117" t="s">
        <v>217</v>
      </c>
      <c r="C113" s="120">
        <v>16.02</v>
      </c>
      <c r="D113" s="1">
        <f t="shared" si="2"/>
        <v>15.218999999999999</v>
      </c>
    </row>
    <row r="114" spans="1:4" ht="21.75" customHeight="1" x14ac:dyDescent="0.25">
      <c r="A114" s="43" t="s">
        <v>218</v>
      </c>
      <c r="B114" s="117" t="s">
        <v>219</v>
      </c>
      <c r="C114" s="120">
        <v>10.85</v>
      </c>
      <c r="D114" s="1">
        <f t="shared" si="2"/>
        <v>10.307499999999999</v>
      </c>
    </row>
    <row r="115" spans="1:4" ht="21.75" customHeight="1" x14ac:dyDescent="0.25">
      <c r="A115" s="43" t="s">
        <v>220</v>
      </c>
      <c r="B115" s="117" t="s">
        <v>221</v>
      </c>
      <c r="C115" s="120">
        <v>3.02</v>
      </c>
      <c r="D115" s="1">
        <f t="shared" si="2"/>
        <v>2.8689999999999998</v>
      </c>
    </row>
    <row r="116" spans="1:4" ht="21.75" customHeight="1" x14ac:dyDescent="0.25">
      <c r="A116" s="43" t="s">
        <v>222</v>
      </c>
      <c r="B116" s="117" t="s">
        <v>223</v>
      </c>
      <c r="C116" s="120">
        <v>57.22</v>
      </c>
      <c r="D116" s="1">
        <f t="shared" si="2"/>
        <v>54.358999999999995</v>
      </c>
    </row>
    <row r="117" spans="1:4" ht="21.75" customHeight="1" x14ac:dyDescent="0.25">
      <c r="A117" s="43" t="s">
        <v>224</v>
      </c>
      <c r="B117" s="117" t="s">
        <v>225</v>
      </c>
      <c r="C117" s="120">
        <v>65.3</v>
      </c>
      <c r="D117" s="1">
        <f t="shared" si="2"/>
        <v>62.034999999999997</v>
      </c>
    </row>
    <row r="118" spans="1:4" ht="21.75" customHeight="1" x14ac:dyDescent="0.25">
      <c r="A118" s="43"/>
      <c r="B118" s="117" t="s">
        <v>226</v>
      </c>
      <c r="C118" s="120">
        <v>4.0999999999999996</v>
      </c>
      <c r="D118" s="1">
        <f t="shared" si="2"/>
        <v>3.8949999999999996</v>
      </c>
    </row>
    <row r="119" spans="1:4" ht="21.75" customHeight="1" x14ac:dyDescent="0.25">
      <c r="A119" s="43" t="s">
        <v>227</v>
      </c>
      <c r="B119" s="117" t="s">
        <v>228</v>
      </c>
      <c r="C119" s="120">
        <v>3.01</v>
      </c>
      <c r="D119" s="1">
        <f t="shared" si="2"/>
        <v>2.8594999999999997</v>
      </c>
    </row>
    <row r="120" spans="1:4" ht="21.75" customHeight="1" x14ac:dyDescent="0.25">
      <c r="A120" s="43" t="s">
        <v>229</v>
      </c>
      <c r="B120" s="117" t="s">
        <v>230</v>
      </c>
      <c r="C120" s="120">
        <v>3.27</v>
      </c>
      <c r="D120" s="1">
        <f t="shared" si="2"/>
        <v>3.1065</v>
      </c>
    </row>
    <row r="121" spans="1:4" ht="21.75" customHeight="1" x14ac:dyDescent="0.25">
      <c r="A121" s="43" t="s">
        <v>231</v>
      </c>
      <c r="B121" s="117" t="s">
        <v>232</v>
      </c>
      <c r="C121" s="120">
        <v>7.34</v>
      </c>
      <c r="D121" s="1">
        <f t="shared" si="2"/>
        <v>6.9729999999999999</v>
      </c>
    </row>
    <row r="122" spans="1:4" ht="21.75" customHeight="1" x14ac:dyDescent="0.25">
      <c r="A122" s="43" t="s">
        <v>233</v>
      </c>
      <c r="B122" s="117" t="s">
        <v>234</v>
      </c>
      <c r="C122" s="120">
        <v>7.99</v>
      </c>
      <c r="D122" s="1">
        <f t="shared" ref="D122:D128" si="3">+C122*0.95</f>
        <v>7.5904999999999996</v>
      </c>
    </row>
    <row r="123" spans="1:4" ht="21.75" customHeight="1" x14ac:dyDescent="0.25">
      <c r="A123" s="43" t="s">
        <v>235</v>
      </c>
      <c r="B123" s="117" t="s">
        <v>236</v>
      </c>
      <c r="C123" s="120">
        <v>41.81</v>
      </c>
      <c r="D123" s="1">
        <f t="shared" si="3"/>
        <v>39.719500000000004</v>
      </c>
    </row>
    <row r="124" spans="1:4" ht="21.75" customHeight="1" x14ac:dyDescent="0.25">
      <c r="A124" s="43" t="s">
        <v>237</v>
      </c>
      <c r="B124" s="117" t="s">
        <v>238</v>
      </c>
      <c r="C124" s="120">
        <v>4.3499999999999996</v>
      </c>
      <c r="D124" s="1">
        <f t="shared" si="3"/>
        <v>4.1324999999999994</v>
      </c>
    </row>
    <row r="125" spans="1:4" ht="21.75" customHeight="1" x14ac:dyDescent="0.25">
      <c r="A125" s="43" t="s">
        <v>227</v>
      </c>
      <c r="B125" s="117" t="s">
        <v>239</v>
      </c>
      <c r="C125" s="120">
        <v>3.75</v>
      </c>
      <c r="D125" s="1">
        <f t="shared" si="3"/>
        <v>3.5625</v>
      </c>
    </row>
    <row r="126" spans="1:4" ht="21.75" customHeight="1" x14ac:dyDescent="0.25">
      <c r="A126" s="43" t="s">
        <v>240</v>
      </c>
      <c r="B126" s="117" t="s">
        <v>241</v>
      </c>
      <c r="C126" s="120">
        <v>2.7</v>
      </c>
      <c r="D126" s="1">
        <f t="shared" si="3"/>
        <v>2.5649999999999999</v>
      </c>
    </row>
    <row r="127" spans="1:4" ht="21.75" customHeight="1" x14ac:dyDescent="0.25">
      <c r="A127" s="43" t="s">
        <v>242</v>
      </c>
      <c r="B127" s="117" t="s">
        <v>243</v>
      </c>
      <c r="C127" s="120">
        <v>3.93</v>
      </c>
      <c r="D127" s="1">
        <f t="shared" si="3"/>
        <v>3.7334999999999998</v>
      </c>
    </row>
    <row r="128" spans="1:4" ht="21.75" customHeight="1" x14ac:dyDescent="0.25">
      <c r="A128" s="43" t="s">
        <v>244</v>
      </c>
      <c r="B128" s="117" t="s">
        <v>245</v>
      </c>
      <c r="C128" s="120">
        <v>62.5</v>
      </c>
      <c r="D128" s="1">
        <f t="shared" si="3"/>
        <v>59.375</v>
      </c>
    </row>
    <row r="129" spans="1:4" ht="21.75" customHeight="1" x14ac:dyDescent="0.25">
      <c r="A129" s="43" t="s">
        <v>246</v>
      </c>
      <c r="B129" s="117" t="s">
        <v>247</v>
      </c>
      <c r="C129" s="120"/>
    </row>
    <row r="130" spans="1:4" ht="21.75" customHeight="1" x14ac:dyDescent="0.25">
      <c r="A130" s="43"/>
      <c r="B130" s="117" t="s">
        <v>248</v>
      </c>
      <c r="C130" s="120"/>
    </row>
    <row r="131" spans="1:4" ht="21.75" customHeight="1" x14ac:dyDescent="0.25">
      <c r="A131" s="43"/>
      <c r="B131" s="117" t="s">
        <v>249</v>
      </c>
      <c r="C131" s="120"/>
    </row>
    <row r="132" spans="1:4" ht="21.75" customHeight="1" x14ac:dyDescent="0.25">
      <c r="A132" s="43" t="s">
        <v>250</v>
      </c>
      <c r="B132" s="117" t="s">
        <v>251</v>
      </c>
      <c r="C132" s="120">
        <v>3.69</v>
      </c>
      <c r="D132" s="1">
        <f>+C132*0.95</f>
        <v>3.5054999999999996</v>
      </c>
    </row>
    <row r="133" spans="1:4" ht="21.75" customHeight="1" x14ac:dyDescent="0.25">
      <c r="A133" s="43" t="s">
        <v>252</v>
      </c>
      <c r="B133" s="117" t="s">
        <v>253</v>
      </c>
      <c r="C133" s="120">
        <v>2.69</v>
      </c>
      <c r="D133" s="1">
        <f t="shared" ref="D133:D169" si="4">+C133*0.95</f>
        <v>2.5554999999999999</v>
      </c>
    </row>
    <row r="134" spans="1:4" ht="21.75" customHeight="1" x14ac:dyDescent="0.25">
      <c r="A134" s="43" t="s">
        <v>254</v>
      </c>
      <c r="B134" s="117" t="s">
        <v>255</v>
      </c>
      <c r="C134" s="120">
        <v>3.48</v>
      </c>
      <c r="D134" s="1">
        <f t="shared" si="4"/>
        <v>3.306</v>
      </c>
    </row>
    <row r="135" spans="1:4" ht="21.75" customHeight="1" x14ac:dyDescent="0.25">
      <c r="A135" s="43" t="s">
        <v>256</v>
      </c>
      <c r="B135" s="117" t="s">
        <v>257</v>
      </c>
      <c r="C135" s="120">
        <v>6.67</v>
      </c>
      <c r="D135" s="1">
        <f t="shared" si="4"/>
        <v>6.3365</v>
      </c>
    </row>
    <row r="136" spans="1:4" ht="21.75" customHeight="1" x14ac:dyDescent="0.25">
      <c r="A136" s="43" t="s">
        <v>258</v>
      </c>
      <c r="B136" s="117" t="s">
        <v>259</v>
      </c>
      <c r="C136" s="120">
        <v>46.5</v>
      </c>
      <c r="D136" s="1">
        <f t="shared" si="4"/>
        <v>44.174999999999997</v>
      </c>
    </row>
    <row r="137" spans="1:4" ht="21.75" customHeight="1" x14ac:dyDescent="0.25">
      <c r="A137" s="43" t="s">
        <v>260</v>
      </c>
      <c r="B137" s="117" t="s">
        <v>261</v>
      </c>
      <c r="C137" s="120">
        <v>31.93</v>
      </c>
      <c r="D137" s="1">
        <f t="shared" si="4"/>
        <v>30.333499999999997</v>
      </c>
    </row>
    <row r="138" spans="1:4" ht="21.75" customHeight="1" x14ac:dyDescent="0.25">
      <c r="A138" s="43"/>
      <c r="B138" s="117" t="s">
        <v>262</v>
      </c>
      <c r="C138" s="120">
        <v>15</v>
      </c>
      <c r="D138" s="1">
        <f t="shared" si="4"/>
        <v>14.25</v>
      </c>
    </row>
    <row r="139" spans="1:4" ht="21.75" customHeight="1" x14ac:dyDescent="0.25">
      <c r="A139" s="43"/>
      <c r="B139" s="117" t="s">
        <v>263</v>
      </c>
      <c r="C139" s="120">
        <v>2.355</v>
      </c>
      <c r="D139" s="1">
        <f t="shared" si="4"/>
        <v>2.23725</v>
      </c>
    </row>
    <row r="140" spans="1:4" ht="21.75" customHeight="1" x14ac:dyDescent="0.25">
      <c r="A140" s="43"/>
      <c r="B140" s="117" t="s">
        <v>264</v>
      </c>
      <c r="C140" s="120">
        <v>8.2309999999999999</v>
      </c>
      <c r="D140" s="1">
        <f t="shared" si="4"/>
        <v>7.8194499999999998</v>
      </c>
    </row>
    <row r="141" spans="1:4" ht="21.75" customHeight="1" x14ac:dyDescent="0.25">
      <c r="A141" s="43" t="s">
        <v>265</v>
      </c>
      <c r="B141" s="117" t="s">
        <v>266</v>
      </c>
      <c r="C141" s="120">
        <v>0.19</v>
      </c>
      <c r="D141" s="1">
        <f t="shared" si="4"/>
        <v>0.18049999999999999</v>
      </c>
    </row>
    <row r="142" spans="1:4" ht="21.75" customHeight="1" x14ac:dyDescent="0.25">
      <c r="A142" s="43" t="s">
        <v>267</v>
      </c>
      <c r="B142" s="117" t="s">
        <v>268</v>
      </c>
      <c r="C142" s="120">
        <v>6.32</v>
      </c>
      <c r="D142" s="1">
        <f t="shared" si="4"/>
        <v>6.0039999999999996</v>
      </c>
    </row>
    <row r="143" spans="1:4" ht="21.75" customHeight="1" x14ac:dyDescent="0.25">
      <c r="A143" s="43" t="s">
        <v>269</v>
      </c>
      <c r="B143" s="117" t="s">
        <v>270</v>
      </c>
      <c r="C143" s="120">
        <v>6.93</v>
      </c>
      <c r="D143" s="1">
        <f t="shared" si="4"/>
        <v>6.583499999999999</v>
      </c>
    </row>
    <row r="144" spans="1:4" ht="21.75" customHeight="1" x14ac:dyDescent="0.25">
      <c r="A144" s="43" t="s">
        <v>271</v>
      </c>
      <c r="B144" s="117" t="s">
        <v>272</v>
      </c>
      <c r="C144" s="120">
        <v>4.0000000000000001E-3</v>
      </c>
      <c r="D144" s="1">
        <f t="shared" si="4"/>
        <v>3.8E-3</v>
      </c>
    </row>
    <row r="145" spans="1:6" ht="21.75" customHeight="1" x14ac:dyDescent="0.25">
      <c r="A145" s="43" t="s">
        <v>273</v>
      </c>
      <c r="B145" s="117" t="s">
        <v>274</v>
      </c>
      <c r="C145" s="120">
        <v>0.15</v>
      </c>
      <c r="D145" s="1">
        <f t="shared" si="4"/>
        <v>0.14249999999999999</v>
      </c>
      <c r="F145" t="s">
        <v>275</v>
      </c>
    </row>
    <row r="146" spans="1:6" ht="21.75" customHeight="1" x14ac:dyDescent="0.25">
      <c r="A146" s="43" t="s">
        <v>276</v>
      </c>
      <c r="B146" s="117" t="s">
        <v>277</v>
      </c>
      <c r="C146" s="120">
        <v>0.66</v>
      </c>
      <c r="D146" s="1">
        <f t="shared" si="4"/>
        <v>0.627</v>
      </c>
      <c r="F146" t="s">
        <v>278</v>
      </c>
    </row>
    <row r="147" spans="1:6" ht="21.75" customHeight="1" x14ac:dyDescent="0.25">
      <c r="A147" s="43" t="s">
        <v>279</v>
      </c>
      <c r="B147" s="117" t="s">
        <v>280</v>
      </c>
      <c r="C147" s="120">
        <v>0.65500000000000003</v>
      </c>
      <c r="D147" s="1">
        <f t="shared" si="4"/>
        <v>0.62224999999999997</v>
      </c>
    </row>
    <row r="148" spans="1:6" ht="21.75" customHeight="1" x14ac:dyDescent="0.25">
      <c r="A148" s="43"/>
      <c r="B148" s="117" t="s">
        <v>281</v>
      </c>
      <c r="C148" s="120">
        <v>5.5410000000000004</v>
      </c>
      <c r="D148" s="1">
        <f t="shared" si="4"/>
        <v>5.2639500000000004</v>
      </c>
    </row>
    <row r="149" spans="1:6" ht="21.75" customHeight="1" x14ac:dyDescent="0.25">
      <c r="A149" s="43" t="s">
        <v>282</v>
      </c>
      <c r="B149" s="117" t="s">
        <v>283</v>
      </c>
      <c r="C149" s="120">
        <v>13</v>
      </c>
      <c r="D149" s="1">
        <f t="shared" si="4"/>
        <v>12.35</v>
      </c>
    </row>
    <row r="150" spans="1:6" ht="21.75" customHeight="1" x14ac:dyDescent="0.25">
      <c r="A150" s="43" t="s">
        <v>284</v>
      </c>
      <c r="B150" s="117" t="s">
        <v>285</v>
      </c>
      <c r="C150" s="120">
        <v>12.4</v>
      </c>
      <c r="D150" s="1">
        <f t="shared" si="4"/>
        <v>11.78</v>
      </c>
    </row>
    <row r="151" spans="1:6" ht="21.75" customHeight="1" x14ac:dyDescent="0.25">
      <c r="A151" s="43" t="s">
        <v>286</v>
      </c>
      <c r="B151" s="117" t="s">
        <v>287</v>
      </c>
      <c r="C151" s="120">
        <v>8</v>
      </c>
      <c r="D151" s="1">
        <f t="shared" si="4"/>
        <v>7.6</v>
      </c>
    </row>
    <row r="152" spans="1:6" ht="21.75" customHeight="1" x14ac:dyDescent="0.25">
      <c r="A152" s="43" t="s">
        <v>288</v>
      </c>
      <c r="B152" s="117" t="s">
        <v>289</v>
      </c>
      <c r="C152" s="120">
        <v>4.0999999999999996</v>
      </c>
      <c r="D152" s="1">
        <f t="shared" si="4"/>
        <v>3.8949999999999996</v>
      </c>
    </row>
    <row r="153" spans="1:6" ht="21.75" customHeight="1" x14ac:dyDescent="0.25">
      <c r="A153" s="43" t="s">
        <v>290</v>
      </c>
      <c r="B153" s="117" t="s">
        <v>291</v>
      </c>
      <c r="C153" s="120">
        <v>7.4</v>
      </c>
      <c r="D153" s="1">
        <f t="shared" si="4"/>
        <v>7.03</v>
      </c>
      <c r="F153" t="s">
        <v>292</v>
      </c>
    </row>
    <row r="154" spans="1:6" ht="21.75" customHeight="1" x14ac:dyDescent="0.25">
      <c r="A154" s="43" t="s">
        <v>293</v>
      </c>
      <c r="B154" s="117" t="s">
        <v>294</v>
      </c>
      <c r="C154" s="120">
        <v>6.5</v>
      </c>
      <c r="D154" s="1">
        <f t="shared" si="4"/>
        <v>6.1749999999999998</v>
      </c>
    </row>
    <row r="155" spans="1:6" ht="21.75" customHeight="1" x14ac:dyDescent="0.25">
      <c r="A155" s="43" t="s">
        <v>295</v>
      </c>
      <c r="B155" s="117" t="s">
        <v>296</v>
      </c>
      <c r="C155" s="120">
        <v>0.19</v>
      </c>
      <c r="D155" s="1">
        <f t="shared" si="4"/>
        <v>0.18049999999999999</v>
      </c>
    </row>
    <row r="156" spans="1:6" ht="21.75" customHeight="1" x14ac:dyDescent="0.25">
      <c r="A156" s="43"/>
      <c r="B156" s="117" t="s">
        <v>297</v>
      </c>
      <c r="C156" s="120">
        <v>2.25</v>
      </c>
      <c r="D156" s="1">
        <f t="shared" si="4"/>
        <v>2.1374999999999997</v>
      </c>
    </row>
    <row r="157" spans="1:6" ht="21.75" customHeight="1" x14ac:dyDescent="0.25">
      <c r="A157" s="43" t="s">
        <v>298</v>
      </c>
      <c r="B157" s="117" t="s">
        <v>299</v>
      </c>
      <c r="C157" s="120">
        <v>11.7</v>
      </c>
      <c r="D157" s="1">
        <f t="shared" si="4"/>
        <v>11.114999999999998</v>
      </c>
    </row>
    <row r="158" spans="1:6" ht="21.75" customHeight="1" x14ac:dyDescent="0.25">
      <c r="A158" s="43" t="s">
        <v>300</v>
      </c>
      <c r="B158" s="117" t="s">
        <v>301</v>
      </c>
      <c r="C158" s="120">
        <v>0.95</v>
      </c>
      <c r="D158" s="1">
        <f t="shared" si="4"/>
        <v>0.90249999999999997</v>
      </c>
    </row>
    <row r="159" spans="1:6" ht="21.75" customHeight="1" x14ac:dyDescent="0.25">
      <c r="A159" s="43" t="s">
        <v>302</v>
      </c>
      <c r="B159" s="117" t="s">
        <v>303</v>
      </c>
      <c r="C159" s="120">
        <v>0.91</v>
      </c>
      <c r="D159" s="1">
        <f t="shared" si="4"/>
        <v>0.86449999999999994</v>
      </c>
    </row>
    <row r="160" spans="1:6" ht="21.75" customHeight="1" x14ac:dyDescent="0.25">
      <c r="A160" s="43" t="s">
        <v>304</v>
      </c>
      <c r="B160" s="117" t="s">
        <v>305</v>
      </c>
      <c r="C160" s="120">
        <v>0.63</v>
      </c>
      <c r="D160" s="1">
        <f t="shared" si="4"/>
        <v>0.59849999999999992</v>
      </c>
    </row>
    <row r="161" spans="1:4" ht="21.75" customHeight="1" x14ac:dyDescent="0.25">
      <c r="A161" s="43"/>
      <c r="B161" s="117" t="s">
        <v>306</v>
      </c>
      <c r="C161" s="120">
        <v>0.66</v>
      </c>
      <c r="D161" s="1">
        <f t="shared" si="4"/>
        <v>0.627</v>
      </c>
    </row>
    <row r="162" spans="1:4" ht="21.75" customHeight="1" x14ac:dyDescent="0.25">
      <c r="A162" s="43" t="s">
        <v>307</v>
      </c>
      <c r="B162" s="117" t="s">
        <v>308</v>
      </c>
      <c r="C162" s="120">
        <v>1.095</v>
      </c>
      <c r="D162" s="1">
        <f t="shared" si="4"/>
        <v>1.0402499999999999</v>
      </c>
    </row>
    <row r="163" spans="1:4" ht="21.75" customHeight="1" x14ac:dyDescent="0.25">
      <c r="A163" s="43" t="s">
        <v>309</v>
      </c>
      <c r="B163" s="117" t="s">
        <v>310</v>
      </c>
      <c r="C163" s="120">
        <v>0.995</v>
      </c>
      <c r="D163" s="1">
        <f t="shared" si="4"/>
        <v>0.94524999999999992</v>
      </c>
    </row>
    <row r="164" spans="1:4" ht="21.75" customHeight="1" x14ac:dyDescent="0.25">
      <c r="A164" s="43" t="s">
        <v>311</v>
      </c>
      <c r="B164" s="117" t="s">
        <v>312</v>
      </c>
      <c r="C164" s="120">
        <v>0.67500000000000004</v>
      </c>
      <c r="D164" s="1">
        <f t="shared" si="4"/>
        <v>0.64124999999999999</v>
      </c>
    </row>
    <row r="165" spans="1:4" ht="21.75" customHeight="1" x14ac:dyDescent="0.25">
      <c r="A165" s="43" t="s">
        <v>313</v>
      </c>
      <c r="B165" s="117" t="s">
        <v>314</v>
      </c>
      <c r="C165" s="120">
        <v>0.70499999999999996</v>
      </c>
      <c r="D165" s="1">
        <f t="shared" si="4"/>
        <v>0.66974999999999996</v>
      </c>
    </row>
    <row r="166" spans="1:4" ht="21.75" customHeight="1" x14ac:dyDescent="0.25">
      <c r="A166" s="43" t="s">
        <v>315</v>
      </c>
      <c r="B166" s="117" t="s">
        <v>316</v>
      </c>
      <c r="C166" s="120">
        <v>0.88500000000000001</v>
      </c>
      <c r="D166" s="1">
        <f t="shared" si="4"/>
        <v>0.84075</v>
      </c>
    </row>
    <row r="167" spans="1:4" ht="21.75" customHeight="1" x14ac:dyDescent="0.25">
      <c r="A167" s="43" t="s">
        <v>317</v>
      </c>
      <c r="B167" s="117" t="s">
        <v>318</v>
      </c>
      <c r="C167" s="120">
        <v>1.05</v>
      </c>
      <c r="D167" s="1">
        <f t="shared" si="4"/>
        <v>0.99749999999999994</v>
      </c>
    </row>
    <row r="168" spans="1:4" ht="21.75" customHeight="1" x14ac:dyDescent="0.25">
      <c r="A168" s="43"/>
      <c r="B168" s="117" t="s">
        <v>319</v>
      </c>
      <c r="C168" s="120">
        <v>0.89500000000000002</v>
      </c>
      <c r="D168" s="1">
        <f t="shared" si="4"/>
        <v>0.85024999999999995</v>
      </c>
    </row>
    <row r="169" spans="1:4" ht="21.75" customHeight="1" x14ac:dyDescent="0.25">
      <c r="A169" s="43" t="s">
        <v>320</v>
      </c>
      <c r="B169" s="117" t="s">
        <v>321</v>
      </c>
      <c r="C169" s="120">
        <v>18.27</v>
      </c>
      <c r="D169" s="1">
        <f t="shared" si="4"/>
        <v>17.3565</v>
      </c>
    </row>
    <row r="170" spans="1:4" ht="21.75" customHeight="1" x14ac:dyDescent="0.25">
      <c r="A170" s="43" t="s">
        <v>322</v>
      </c>
      <c r="B170" s="117" t="s">
        <v>323</v>
      </c>
      <c r="C170" s="120"/>
    </row>
    <row r="171" spans="1:4" ht="21.75" customHeight="1" x14ac:dyDescent="0.25">
      <c r="A171" s="43" t="s">
        <v>324</v>
      </c>
      <c r="B171" s="117" t="s">
        <v>325</v>
      </c>
      <c r="C171" s="120">
        <v>5.21</v>
      </c>
      <c r="D171" s="1">
        <f>+C171*0.95</f>
        <v>4.9494999999999996</v>
      </c>
    </row>
    <row r="172" spans="1:4" ht="21.75" customHeight="1" x14ac:dyDescent="0.25">
      <c r="A172" s="43"/>
      <c r="B172" s="117" t="s">
        <v>326</v>
      </c>
      <c r="C172" s="120">
        <v>7.6</v>
      </c>
      <c r="D172" s="1">
        <f t="shared" ref="D172:D173" si="5">+C172*0.95</f>
        <v>7.22</v>
      </c>
    </row>
    <row r="173" spans="1:4" ht="21.75" customHeight="1" x14ac:dyDescent="0.25">
      <c r="A173" s="43" t="s">
        <v>327</v>
      </c>
      <c r="B173" s="117" t="s">
        <v>328</v>
      </c>
      <c r="C173" s="120">
        <v>6.99</v>
      </c>
      <c r="D173" s="1">
        <f t="shared" si="5"/>
        <v>6.6405000000000003</v>
      </c>
    </row>
    <row r="174" spans="1:4" ht="21.75" customHeight="1" x14ac:dyDescent="0.25">
      <c r="A174" s="43" t="s">
        <v>329</v>
      </c>
      <c r="B174" s="117" t="s">
        <v>330</v>
      </c>
      <c r="C174" s="120"/>
    </row>
    <row r="175" spans="1:4" ht="21.75" customHeight="1" x14ac:dyDescent="0.25">
      <c r="A175" s="43" t="s">
        <v>331</v>
      </c>
      <c r="B175" s="117" t="s">
        <v>332</v>
      </c>
      <c r="C175" s="120">
        <v>19.350000000000001</v>
      </c>
      <c r="D175" s="1">
        <f>+C175*0.95</f>
        <v>18.3825</v>
      </c>
    </row>
    <row r="176" spans="1:4" ht="21.75" customHeight="1" x14ac:dyDescent="0.25">
      <c r="A176" s="43" t="s">
        <v>333</v>
      </c>
      <c r="B176" s="117" t="s">
        <v>334</v>
      </c>
      <c r="C176" s="120">
        <v>7.8</v>
      </c>
      <c r="D176" s="1">
        <f t="shared" ref="D176:D178" si="6">+C176*0.95</f>
        <v>7.4099999999999993</v>
      </c>
    </row>
    <row r="177" spans="1:4" ht="21.75" customHeight="1" x14ac:dyDescent="0.25">
      <c r="A177" s="43" t="s">
        <v>335</v>
      </c>
      <c r="B177" s="117" t="s">
        <v>336</v>
      </c>
      <c r="C177" s="120">
        <v>2.5</v>
      </c>
      <c r="D177" s="1">
        <f t="shared" si="6"/>
        <v>2.375</v>
      </c>
    </row>
    <row r="178" spans="1:4" ht="21.75" customHeight="1" x14ac:dyDescent="0.25">
      <c r="A178" s="43" t="s">
        <v>337</v>
      </c>
      <c r="B178" s="117" t="s">
        <v>338</v>
      </c>
      <c r="C178" s="120">
        <v>1.83</v>
      </c>
      <c r="D178" s="1">
        <f t="shared" si="6"/>
        <v>1.7384999999999999</v>
      </c>
    </row>
    <row r="179" spans="1:4" ht="21.75" customHeight="1" x14ac:dyDescent="0.25">
      <c r="A179" s="43"/>
      <c r="B179" s="117" t="s">
        <v>339</v>
      </c>
      <c r="C179" s="120"/>
    </row>
    <row r="180" spans="1:4" ht="21.75" customHeight="1" x14ac:dyDescent="0.25">
      <c r="A180" s="43" t="s">
        <v>340</v>
      </c>
      <c r="B180" s="117" t="s">
        <v>341</v>
      </c>
      <c r="C180" s="120">
        <v>82.09</v>
      </c>
      <c r="D180" s="1">
        <f>+C180*0.95</f>
        <v>77.985500000000002</v>
      </c>
    </row>
    <row r="181" spans="1:4" ht="21.75" customHeight="1" x14ac:dyDescent="0.25">
      <c r="A181" s="43" t="s">
        <v>342</v>
      </c>
      <c r="B181" s="117" t="s">
        <v>343</v>
      </c>
      <c r="C181" s="120">
        <v>27</v>
      </c>
      <c r="D181" s="1">
        <f t="shared" ref="D181:D229" si="7">+C181*0.95</f>
        <v>25.65</v>
      </c>
    </row>
    <row r="182" spans="1:4" ht="21.75" customHeight="1" x14ac:dyDescent="0.25">
      <c r="A182" s="43"/>
      <c r="B182" s="117" t="s">
        <v>344</v>
      </c>
      <c r="C182" s="120">
        <v>11.154999999999999</v>
      </c>
      <c r="D182" s="1">
        <f t="shared" si="7"/>
        <v>10.597249999999999</v>
      </c>
    </row>
    <row r="183" spans="1:4" ht="21.75" customHeight="1" x14ac:dyDescent="0.25">
      <c r="A183" s="43" t="s">
        <v>345</v>
      </c>
      <c r="B183" s="117" t="s">
        <v>346</v>
      </c>
      <c r="C183" s="120">
        <v>8.6</v>
      </c>
      <c r="D183" s="1">
        <f t="shared" si="7"/>
        <v>8.17</v>
      </c>
    </row>
    <row r="184" spans="1:4" ht="21.75" customHeight="1" x14ac:dyDescent="0.25">
      <c r="A184" s="43" t="s">
        <v>347</v>
      </c>
      <c r="B184" s="117" t="s">
        <v>348</v>
      </c>
      <c r="C184" s="120">
        <v>5.05</v>
      </c>
      <c r="D184" s="1">
        <f t="shared" si="7"/>
        <v>4.7974999999999994</v>
      </c>
    </row>
    <row r="185" spans="1:4" ht="21.75" customHeight="1" x14ac:dyDescent="0.25">
      <c r="A185" s="43"/>
      <c r="B185" s="117" t="s">
        <v>349</v>
      </c>
      <c r="C185" s="120">
        <v>6.8179999999999996</v>
      </c>
      <c r="D185" s="1">
        <f t="shared" si="7"/>
        <v>6.4770999999999992</v>
      </c>
    </row>
    <row r="186" spans="1:4" ht="21.75" customHeight="1" x14ac:dyDescent="0.25">
      <c r="A186" s="43" t="s">
        <v>350</v>
      </c>
      <c r="B186" s="117" t="s">
        <v>351</v>
      </c>
      <c r="C186" s="120">
        <v>5.51</v>
      </c>
      <c r="D186" s="1">
        <f t="shared" si="7"/>
        <v>5.2344999999999997</v>
      </c>
    </row>
    <row r="187" spans="1:4" ht="21.75" customHeight="1" x14ac:dyDescent="0.25">
      <c r="A187" s="43" t="s">
        <v>352</v>
      </c>
      <c r="B187" s="117" t="s">
        <v>353</v>
      </c>
      <c r="C187" s="120">
        <v>7.7</v>
      </c>
      <c r="D187" s="1">
        <f t="shared" si="7"/>
        <v>7.3149999999999995</v>
      </c>
    </row>
    <row r="188" spans="1:4" ht="21.75" customHeight="1" x14ac:dyDescent="0.25">
      <c r="A188" s="43" t="s">
        <v>354</v>
      </c>
      <c r="B188" s="117" t="s">
        <v>355</v>
      </c>
      <c r="C188" s="120">
        <v>3.2</v>
      </c>
      <c r="D188" s="1">
        <f t="shared" si="7"/>
        <v>3.04</v>
      </c>
    </row>
    <row r="189" spans="1:4" ht="21.75" customHeight="1" x14ac:dyDescent="0.25">
      <c r="A189" s="43" t="s">
        <v>356</v>
      </c>
      <c r="B189" s="117" t="s">
        <v>357</v>
      </c>
      <c r="C189" s="120">
        <v>6.38</v>
      </c>
      <c r="D189" s="1">
        <f t="shared" si="7"/>
        <v>6.0609999999999999</v>
      </c>
    </row>
    <row r="190" spans="1:4" ht="21.75" customHeight="1" x14ac:dyDescent="0.25">
      <c r="A190" s="43" t="s">
        <v>358</v>
      </c>
      <c r="B190" s="117" t="s">
        <v>359</v>
      </c>
      <c r="C190" s="120">
        <v>20.9</v>
      </c>
      <c r="D190" s="1">
        <f t="shared" si="7"/>
        <v>19.854999999999997</v>
      </c>
    </row>
    <row r="191" spans="1:4" ht="21.75" customHeight="1" x14ac:dyDescent="0.25">
      <c r="A191" s="43" t="s">
        <v>360</v>
      </c>
      <c r="B191" s="117" t="s">
        <v>349</v>
      </c>
      <c r="C191" s="120">
        <v>4.9000000000000004</v>
      </c>
      <c r="D191" s="1">
        <f t="shared" si="7"/>
        <v>4.6550000000000002</v>
      </c>
    </row>
    <row r="192" spans="1:4" ht="21.75" customHeight="1" x14ac:dyDescent="0.25">
      <c r="A192" s="43" t="s">
        <v>361</v>
      </c>
      <c r="B192" s="117" t="s">
        <v>362</v>
      </c>
      <c r="C192" s="120">
        <v>1.79</v>
      </c>
      <c r="D192" s="1">
        <f t="shared" si="7"/>
        <v>1.7004999999999999</v>
      </c>
    </row>
    <row r="193" spans="1:4" ht="21.75" customHeight="1" x14ac:dyDescent="0.25">
      <c r="A193" s="43" t="s">
        <v>363</v>
      </c>
      <c r="B193" s="117" t="s">
        <v>364</v>
      </c>
      <c r="C193" s="120">
        <v>0.8</v>
      </c>
      <c r="D193" s="1">
        <f t="shared" si="7"/>
        <v>0.76</v>
      </c>
    </row>
    <row r="194" spans="1:4" ht="21.75" customHeight="1" x14ac:dyDescent="0.25">
      <c r="A194" s="43" t="s">
        <v>365</v>
      </c>
      <c r="B194" s="117" t="s">
        <v>366</v>
      </c>
      <c r="C194" s="120">
        <v>0.53</v>
      </c>
      <c r="D194" s="1">
        <f t="shared" si="7"/>
        <v>0.50349999999999995</v>
      </c>
    </row>
    <row r="195" spans="1:4" ht="21.75" customHeight="1" x14ac:dyDescent="0.25">
      <c r="A195" s="43"/>
      <c r="B195" s="117" t="s">
        <v>367</v>
      </c>
      <c r="C195" s="120">
        <v>7.55</v>
      </c>
      <c r="D195" s="1">
        <f t="shared" si="7"/>
        <v>7.1724999999999994</v>
      </c>
    </row>
    <row r="196" spans="1:4" ht="21.75" customHeight="1" x14ac:dyDescent="0.25">
      <c r="A196" s="43"/>
      <c r="B196" s="117" t="s">
        <v>368</v>
      </c>
      <c r="C196" s="120">
        <v>7.45</v>
      </c>
      <c r="D196" s="1">
        <f t="shared" si="7"/>
        <v>7.0774999999999997</v>
      </c>
    </row>
    <row r="197" spans="1:4" ht="21.75" customHeight="1" x14ac:dyDescent="0.25">
      <c r="A197" s="43"/>
      <c r="B197" s="117" t="s">
        <v>369</v>
      </c>
      <c r="C197" s="120">
        <f>+OUTILS!E62</f>
        <v>0</v>
      </c>
      <c r="D197" s="1">
        <f t="shared" si="7"/>
        <v>0</v>
      </c>
    </row>
    <row r="198" spans="1:4" ht="21.75" customHeight="1" x14ac:dyDescent="0.25">
      <c r="A198" s="43"/>
      <c r="B198" s="117" t="s">
        <v>370</v>
      </c>
      <c r="C198" s="120">
        <v>4.62</v>
      </c>
      <c r="D198" s="1">
        <f t="shared" si="7"/>
        <v>4.3890000000000002</v>
      </c>
    </row>
    <row r="199" spans="1:4" ht="21.75" customHeight="1" x14ac:dyDescent="0.25">
      <c r="A199" s="43" t="s">
        <v>371</v>
      </c>
      <c r="B199" s="117" t="s">
        <v>372</v>
      </c>
      <c r="C199" s="120">
        <v>82</v>
      </c>
      <c r="D199" s="1">
        <f t="shared" si="7"/>
        <v>77.899999999999991</v>
      </c>
    </row>
    <row r="200" spans="1:4" ht="21.75" customHeight="1" x14ac:dyDescent="0.25">
      <c r="A200" s="43" t="s">
        <v>373</v>
      </c>
      <c r="B200" s="117" t="s">
        <v>374</v>
      </c>
      <c r="C200" s="120">
        <v>20.56</v>
      </c>
      <c r="D200" s="1">
        <f t="shared" si="7"/>
        <v>19.531999999999996</v>
      </c>
    </row>
    <row r="201" spans="1:4" ht="21.75" customHeight="1" x14ac:dyDescent="0.25">
      <c r="A201" s="43" t="s">
        <v>375</v>
      </c>
      <c r="B201" s="117" t="s">
        <v>376</v>
      </c>
      <c r="C201" s="120">
        <v>3.41</v>
      </c>
      <c r="D201" s="1">
        <f t="shared" si="7"/>
        <v>3.2395</v>
      </c>
    </row>
    <row r="202" spans="1:4" ht="21.75" customHeight="1" x14ac:dyDescent="0.25">
      <c r="A202" s="43" t="s">
        <v>377</v>
      </c>
      <c r="B202" s="117" t="s">
        <v>378</v>
      </c>
      <c r="C202" s="120">
        <v>1.464</v>
      </c>
      <c r="D202" s="1">
        <f t="shared" si="7"/>
        <v>1.3907999999999998</v>
      </c>
    </row>
    <row r="203" spans="1:4" ht="21.75" customHeight="1" x14ac:dyDescent="0.25">
      <c r="A203" s="43" t="s">
        <v>379</v>
      </c>
      <c r="B203" s="117" t="s">
        <v>380</v>
      </c>
      <c r="C203" s="120">
        <v>1.47</v>
      </c>
      <c r="D203" s="1">
        <f t="shared" si="7"/>
        <v>1.3964999999999999</v>
      </c>
    </row>
    <row r="204" spans="1:4" ht="21.75" customHeight="1" x14ac:dyDescent="0.25">
      <c r="A204" s="43"/>
      <c r="B204" s="117" t="s">
        <v>381</v>
      </c>
      <c r="C204" s="120">
        <v>3.198</v>
      </c>
      <c r="D204" s="1">
        <f t="shared" si="7"/>
        <v>3.0381</v>
      </c>
    </row>
    <row r="205" spans="1:4" ht="21.75" customHeight="1" x14ac:dyDescent="0.25">
      <c r="A205" s="43" t="s">
        <v>382</v>
      </c>
      <c r="B205" s="117" t="s">
        <v>383</v>
      </c>
      <c r="C205" s="120">
        <v>13.59</v>
      </c>
      <c r="D205" s="1">
        <f t="shared" si="7"/>
        <v>12.910499999999999</v>
      </c>
    </row>
    <row r="206" spans="1:4" ht="21.75" customHeight="1" x14ac:dyDescent="0.25">
      <c r="A206" s="43" t="s">
        <v>384</v>
      </c>
      <c r="B206" s="117" t="s">
        <v>385</v>
      </c>
      <c r="C206" s="120">
        <v>4.3499999999999996</v>
      </c>
      <c r="D206" s="1">
        <f t="shared" si="7"/>
        <v>4.1324999999999994</v>
      </c>
    </row>
    <row r="207" spans="1:4" ht="21.75" customHeight="1" x14ac:dyDescent="0.25">
      <c r="A207" s="43" t="s">
        <v>386</v>
      </c>
      <c r="B207" s="117" t="s">
        <v>387</v>
      </c>
      <c r="C207" s="120">
        <v>3.64</v>
      </c>
      <c r="D207" s="1">
        <f t="shared" si="7"/>
        <v>3.4579999999999997</v>
      </c>
    </row>
    <row r="208" spans="1:4" ht="21.75" customHeight="1" x14ac:dyDescent="0.25">
      <c r="A208" s="43" t="s">
        <v>388</v>
      </c>
      <c r="B208" s="117" t="s">
        <v>389</v>
      </c>
      <c r="C208" s="120">
        <v>11.77</v>
      </c>
      <c r="D208" s="1">
        <f t="shared" si="7"/>
        <v>11.1815</v>
      </c>
    </row>
    <row r="209" spans="1:6" ht="21.75" customHeight="1" x14ac:dyDescent="0.25">
      <c r="A209" s="43"/>
      <c r="B209" s="117" t="s">
        <v>390</v>
      </c>
      <c r="C209" s="120">
        <v>2.6</v>
      </c>
      <c r="D209" s="1">
        <f t="shared" si="7"/>
        <v>2.4699999999999998</v>
      </c>
    </row>
    <row r="210" spans="1:6" ht="21.75" customHeight="1" x14ac:dyDescent="0.25">
      <c r="A210" s="43" t="s">
        <v>391</v>
      </c>
      <c r="B210" s="117" t="s">
        <v>392</v>
      </c>
      <c r="C210" s="120">
        <v>4.34</v>
      </c>
      <c r="D210" s="1">
        <f t="shared" si="7"/>
        <v>4.1229999999999993</v>
      </c>
    </row>
    <row r="211" spans="1:6" ht="21.75" customHeight="1" x14ac:dyDescent="0.25">
      <c r="A211" s="43"/>
      <c r="B211" s="117" t="s">
        <v>393</v>
      </c>
      <c r="C211" s="120">
        <v>2.0699999999999998</v>
      </c>
      <c r="D211" s="1">
        <f t="shared" si="7"/>
        <v>1.9664999999999997</v>
      </c>
    </row>
    <row r="212" spans="1:6" ht="21.75" customHeight="1" x14ac:dyDescent="0.25">
      <c r="A212" s="43" t="s">
        <v>394</v>
      </c>
      <c r="B212" s="117" t="s">
        <v>395</v>
      </c>
      <c r="C212" s="120">
        <v>1.59</v>
      </c>
      <c r="D212" s="1">
        <f t="shared" si="7"/>
        <v>1.5105</v>
      </c>
    </row>
    <row r="213" spans="1:6" ht="21.75" customHeight="1" x14ac:dyDescent="0.25">
      <c r="A213" s="43" t="s">
        <v>396</v>
      </c>
      <c r="B213" s="117" t="s">
        <v>397</v>
      </c>
      <c r="C213" s="120">
        <v>1.83</v>
      </c>
      <c r="D213" s="1">
        <f t="shared" si="7"/>
        <v>1.7384999999999999</v>
      </c>
    </row>
    <row r="214" spans="1:6" ht="21.75" customHeight="1" x14ac:dyDescent="0.25">
      <c r="A214" s="43" t="s">
        <v>398</v>
      </c>
      <c r="B214" s="117" t="s">
        <v>399</v>
      </c>
      <c r="C214" s="120">
        <v>1.8</v>
      </c>
      <c r="D214" s="1">
        <f t="shared" si="7"/>
        <v>1.71</v>
      </c>
    </row>
    <row r="215" spans="1:6" ht="21.75" customHeight="1" x14ac:dyDescent="0.25">
      <c r="A215" s="43" t="s">
        <v>400</v>
      </c>
      <c r="B215" s="117" t="s">
        <v>401</v>
      </c>
      <c r="C215" s="120">
        <v>8.1</v>
      </c>
      <c r="D215" s="1">
        <f t="shared" si="7"/>
        <v>7.6949999999999994</v>
      </c>
    </row>
    <row r="216" spans="1:6" ht="21.75" customHeight="1" x14ac:dyDescent="0.25">
      <c r="A216" s="43" t="s">
        <v>402</v>
      </c>
      <c r="B216" s="117" t="s">
        <v>403</v>
      </c>
      <c r="C216" s="120">
        <v>0.67200000000000004</v>
      </c>
      <c r="D216" s="1">
        <f t="shared" si="7"/>
        <v>0.63839999999999997</v>
      </c>
    </row>
    <row r="217" spans="1:6" ht="21.75" customHeight="1" x14ac:dyDescent="0.25">
      <c r="A217" s="43" t="s">
        <v>404</v>
      </c>
      <c r="B217" s="117" t="s">
        <v>405</v>
      </c>
      <c r="C217" s="120">
        <v>0.89</v>
      </c>
      <c r="D217" s="1">
        <f t="shared" si="7"/>
        <v>0.84549999999999992</v>
      </c>
    </row>
    <row r="218" spans="1:6" ht="21.75" customHeight="1" x14ac:dyDescent="0.25">
      <c r="A218" s="43" t="s">
        <v>406</v>
      </c>
      <c r="B218" s="117" t="s">
        <v>407</v>
      </c>
      <c r="C218" s="120">
        <v>8.14</v>
      </c>
      <c r="D218" s="1">
        <f t="shared" si="7"/>
        <v>7.7330000000000005</v>
      </c>
      <c r="F218" t="s">
        <v>408</v>
      </c>
    </row>
    <row r="219" spans="1:6" ht="21.75" customHeight="1" x14ac:dyDescent="0.25">
      <c r="A219" s="43" t="s">
        <v>409</v>
      </c>
      <c r="B219" s="117" t="s">
        <v>410</v>
      </c>
      <c r="C219" s="120">
        <v>6.59</v>
      </c>
      <c r="D219" s="1">
        <f t="shared" si="7"/>
        <v>6.2604999999999995</v>
      </c>
      <c r="F219" t="s">
        <v>89</v>
      </c>
    </row>
    <row r="220" spans="1:6" ht="21.75" customHeight="1" x14ac:dyDescent="0.25">
      <c r="A220" s="43" t="s">
        <v>411</v>
      </c>
      <c r="B220" s="117" t="s">
        <v>412</v>
      </c>
      <c r="C220" s="120">
        <v>5.3890000000000002</v>
      </c>
      <c r="D220" s="1">
        <f t="shared" si="7"/>
        <v>5.1195500000000003</v>
      </c>
    </row>
    <row r="221" spans="1:6" ht="21.75" customHeight="1" x14ac:dyDescent="0.25">
      <c r="A221" s="43"/>
      <c r="B221" s="117" t="s">
        <v>413</v>
      </c>
      <c r="C221" s="120">
        <v>8.7530000000000001</v>
      </c>
      <c r="D221" s="1">
        <f t="shared" si="7"/>
        <v>8.3153500000000005</v>
      </c>
    </row>
    <row r="222" spans="1:6" ht="21.75" customHeight="1" x14ac:dyDescent="0.25">
      <c r="A222" s="43" t="s">
        <v>414</v>
      </c>
      <c r="B222" s="117" t="s">
        <v>415</v>
      </c>
      <c r="C222" s="120">
        <v>0.08</v>
      </c>
      <c r="D222" s="1">
        <f t="shared" si="7"/>
        <v>7.5999999999999998E-2</v>
      </c>
    </row>
    <row r="223" spans="1:6" ht="21.75" customHeight="1" x14ac:dyDescent="0.25">
      <c r="A223" s="43" t="s">
        <v>416</v>
      </c>
      <c r="B223" s="117" t="s">
        <v>417</v>
      </c>
      <c r="C223" s="120">
        <v>0.39</v>
      </c>
      <c r="D223" s="1">
        <f t="shared" si="7"/>
        <v>0.3705</v>
      </c>
    </row>
    <row r="224" spans="1:6" ht="21.75" customHeight="1" x14ac:dyDescent="0.25">
      <c r="A224" s="43" t="s">
        <v>418</v>
      </c>
      <c r="B224" s="117" t="s">
        <v>419</v>
      </c>
      <c r="C224" s="120">
        <v>0.79</v>
      </c>
      <c r="D224" s="1">
        <f t="shared" si="7"/>
        <v>0.75049999999999994</v>
      </c>
    </row>
    <row r="225" spans="1:4" ht="21.75" customHeight="1" x14ac:dyDescent="0.25">
      <c r="A225" s="43"/>
      <c r="B225" s="117" t="s">
        <v>420</v>
      </c>
      <c r="C225" s="120">
        <f>34.58/240</f>
        <v>0.14408333333333331</v>
      </c>
      <c r="D225" s="1">
        <f t="shared" si="7"/>
        <v>0.13687916666666664</v>
      </c>
    </row>
    <row r="226" spans="1:4" ht="21.75" customHeight="1" x14ac:dyDescent="0.25">
      <c r="A226" s="43" t="s">
        <v>421</v>
      </c>
      <c r="B226" s="117" t="s">
        <v>422</v>
      </c>
      <c r="C226" s="120">
        <v>6.79</v>
      </c>
      <c r="D226" s="1">
        <f t="shared" si="7"/>
        <v>6.4504999999999999</v>
      </c>
    </row>
    <row r="227" spans="1:4" ht="21.75" customHeight="1" x14ac:dyDescent="0.25">
      <c r="A227" s="43" t="s">
        <v>423</v>
      </c>
      <c r="B227" s="117" t="s">
        <v>424</v>
      </c>
      <c r="C227" s="120">
        <v>52.76</v>
      </c>
      <c r="D227" s="1">
        <f t="shared" si="7"/>
        <v>50.121999999999993</v>
      </c>
    </row>
    <row r="228" spans="1:4" ht="21.75" customHeight="1" x14ac:dyDescent="0.25">
      <c r="A228" s="43" t="s">
        <v>425</v>
      </c>
      <c r="B228" s="117" t="s">
        <v>426</v>
      </c>
      <c r="C228" s="120">
        <v>6</v>
      </c>
      <c r="D228" s="1">
        <f t="shared" si="7"/>
        <v>5.6999999999999993</v>
      </c>
    </row>
    <row r="229" spans="1:4" ht="21.75" customHeight="1" x14ac:dyDescent="0.25">
      <c r="A229" s="43" t="s">
        <v>427</v>
      </c>
      <c r="B229" s="117" t="s">
        <v>428</v>
      </c>
      <c r="C229" s="120">
        <v>5.5</v>
      </c>
      <c r="D229" s="1">
        <f t="shared" si="7"/>
        <v>5.2249999999999996</v>
      </c>
    </row>
    <row r="230" spans="1:4" ht="21.75" customHeight="1" x14ac:dyDescent="0.25">
      <c r="A230" s="43" t="s">
        <v>429</v>
      </c>
      <c r="B230" s="117" t="s">
        <v>430</v>
      </c>
      <c r="C230" s="120"/>
    </row>
    <row r="231" spans="1:4" ht="21.75" customHeight="1" x14ac:dyDescent="0.25">
      <c r="A231" s="43" t="s">
        <v>431</v>
      </c>
      <c r="B231" s="117" t="s">
        <v>432</v>
      </c>
      <c r="C231" s="120">
        <v>4.6900000000000004</v>
      </c>
      <c r="D231" s="1">
        <f>+C231*0.94</f>
        <v>4.4085999999999999</v>
      </c>
    </row>
    <row r="232" spans="1:4" ht="21.75" customHeight="1" x14ac:dyDescent="0.25">
      <c r="A232" s="43" t="s">
        <v>433</v>
      </c>
      <c r="B232" s="117" t="s">
        <v>434</v>
      </c>
      <c r="C232" s="120">
        <v>1.7749999999999999</v>
      </c>
      <c r="D232" s="1">
        <f t="shared" ref="D232:D288" si="8">+C232*0.94</f>
        <v>1.6684999999999999</v>
      </c>
    </row>
    <row r="233" spans="1:4" ht="21.75" customHeight="1" x14ac:dyDescent="0.25">
      <c r="A233" s="43" t="s">
        <v>435</v>
      </c>
      <c r="B233" s="117" t="s">
        <v>436</v>
      </c>
      <c r="C233" s="120">
        <v>3.45</v>
      </c>
      <c r="D233" s="1">
        <f t="shared" si="8"/>
        <v>3.2429999999999999</v>
      </c>
    </row>
    <row r="234" spans="1:4" ht="21.75" customHeight="1" x14ac:dyDescent="0.25">
      <c r="A234" s="43" t="s">
        <v>437</v>
      </c>
      <c r="B234" s="117" t="s">
        <v>438</v>
      </c>
      <c r="C234" s="120">
        <v>3.05</v>
      </c>
      <c r="D234" s="1">
        <f t="shared" si="8"/>
        <v>2.8669999999999995</v>
      </c>
    </row>
    <row r="235" spans="1:4" ht="21.75" customHeight="1" x14ac:dyDescent="0.25">
      <c r="A235" s="43" t="s">
        <v>439</v>
      </c>
      <c r="B235" s="117" t="s">
        <v>440</v>
      </c>
      <c r="C235" s="120">
        <v>3.85</v>
      </c>
      <c r="D235" s="1">
        <f t="shared" si="8"/>
        <v>3.6189999999999998</v>
      </c>
    </row>
    <row r="236" spans="1:4" ht="21.75" customHeight="1" x14ac:dyDescent="0.25">
      <c r="A236" s="43"/>
      <c r="B236" s="117" t="s">
        <v>441</v>
      </c>
      <c r="C236" s="120">
        <v>18.905000000000001</v>
      </c>
      <c r="D236" s="1">
        <f t="shared" si="8"/>
        <v>17.770700000000001</v>
      </c>
    </row>
    <row r="237" spans="1:4" ht="21.75" customHeight="1" x14ac:dyDescent="0.25">
      <c r="A237" s="43" t="s">
        <v>442</v>
      </c>
      <c r="B237" s="117" t="s">
        <v>443</v>
      </c>
      <c r="C237" s="120">
        <v>2.0499999999999998</v>
      </c>
      <c r="D237" s="1">
        <f t="shared" si="8"/>
        <v>1.9269999999999998</v>
      </c>
    </row>
    <row r="238" spans="1:4" ht="21.75" customHeight="1" x14ac:dyDescent="0.25">
      <c r="A238" s="43"/>
      <c r="B238" s="117" t="s">
        <v>444</v>
      </c>
      <c r="C238" s="120">
        <v>2.5</v>
      </c>
      <c r="D238" s="1">
        <f t="shared" si="8"/>
        <v>2.3499999999999996</v>
      </c>
    </row>
    <row r="239" spans="1:4" ht="21.75" customHeight="1" x14ac:dyDescent="0.25">
      <c r="A239" s="43"/>
      <c r="B239" s="117" t="s">
        <v>445</v>
      </c>
      <c r="C239" s="120">
        <v>3.65</v>
      </c>
      <c r="D239" s="1">
        <f t="shared" si="8"/>
        <v>3.4309999999999996</v>
      </c>
    </row>
    <row r="240" spans="1:4" ht="21.75" customHeight="1" x14ac:dyDescent="0.25">
      <c r="A240" s="43" t="s">
        <v>446</v>
      </c>
      <c r="B240" s="117" t="s">
        <v>447</v>
      </c>
      <c r="C240" s="120">
        <v>10.7</v>
      </c>
      <c r="D240" s="1">
        <f t="shared" si="8"/>
        <v>10.057999999999998</v>
      </c>
    </row>
    <row r="241" spans="1:4" ht="21.75" customHeight="1" x14ac:dyDescent="0.25">
      <c r="A241" s="43" t="s">
        <v>448</v>
      </c>
      <c r="B241" s="117" t="s">
        <v>449</v>
      </c>
      <c r="C241" s="120">
        <v>2.11</v>
      </c>
      <c r="D241" s="1">
        <f t="shared" si="8"/>
        <v>1.9833999999999998</v>
      </c>
    </row>
    <row r="242" spans="1:4" ht="21.75" customHeight="1" x14ac:dyDescent="0.25">
      <c r="B242" s="166" t="s">
        <v>450</v>
      </c>
      <c r="C242" s="120">
        <v>1.55</v>
      </c>
      <c r="D242" s="1">
        <f t="shared" si="8"/>
        <v>1.4569999999999999</v>
      </c>
    </row>
    <row r="243" spans="1:4" ht="21.75" customHeight="1" x14ac:dyDescent="0.25">
      <c r="A243" s="43"/>
      <c r="B243" s="117" t="s">
        <v>451</v>
      </c>
      <c r="C243" s="120">
        <v>11.35</v>
      </c>
      <c r="D243" s="1">
        <f t="shared" si="8"/>
        <v>10.668999999999999</v>
      </c>
    </row>
    <row r="244" spans="1:4" ht="21.75" customHeight="1" x14ac:dyDescent="0.25">
      <c r="A244" s="43" t="s">
        <v>452</v>
      </c>
      <c r="B244" s="117" t="s">
        <v>453</v>
      </c>
      <c r="C244" s="120">
        <v>4.5</v>
      </c>
      <c r="D244" s="1">
        <f t="shared" si="8"/>
        <v>4.2299999999999995</v>
      </c>
    </row>
    <row r="245" spans="1:4" ht="21.75" customHeight="1" x14ac:dyDescent="0.25">
      <c r="A245" s="43" t="s">
        <v>454</v>
      </c>
      <c r="B245" s="117" t="s">
        <v>455</v>
      </c>
      <c r="C245" s="120">
        <v>0.6</v>
      </c>
      <c r="D245" s="1">
        <f t="shared" si="8"/>
        <v>0.56399999999999995</v>
      </c>
    </row>
    <row r="246" spans="1:4" ht="21.75" customHeight="1" x14ac:dyDescent="0.25">
      <c r="A246" s="43" t="s">
        <v>456</v>
      </c>
      <c r="B246" s="117" t="s">
        <v>457</v>
      </c>
      <c r="C246" s="120">
        <v>0.6</v>
      </c>
      <c r="D246" s="1">
        <f t="shared" si="8"/>
        <v>0.56399999999999995</v>
      </c>
    </row>
    <row r="247" spans="1:4" ht="21.75" customHeight="1" x14ac:dyDescent="0.25">
      <c r="A247" s="43" t="s">
        <v>458</v>
      </c>
      <c r="B247" s="117" t="s">
        <v>459</v>
      </c>
      <c r="C247" s="120">
        <v>4.68</v>
      </c>
      <c r="D247" s="1">
        <f t="shared" si="8"/>
        <v>4.3991999999999996</v>
      </c>
    </row>
    <row r="248" spans="1:4" ht="21.75" customHeight="1" x14ac:dyDescent="0.25">
      <c r="A248" s="43" t="s">
        <v>460</v>
      </c>
      <c r="B248" s="117" t="s">
        <v>461</v>
      </c>
      <c r="C248" s="120">
        <v>0.16</v>
      </c>
      <c r="D248" s="1">
        <f t="shared" si="8"/>
        <v>0.15040000000000001</v>
      </c>
    </row>
    <row r="249" spans="1:4" ht="21.75" customHeight="1" x14ac:dyDescent="0.25">
      <c r="A249" s="43" t="s">
        <v>462</v>
      </c>
      <c r="B249" s="117" t="s">
        <v>463</v>
      </c>
      <c r="C249" s="120">
        <v>2.1800000000000002</v>
      </c>
      <c r="D249" s="1">
        <f t="shared" si="8"/>
        <v>2.0491999999999999</v>
      </c>
    </row>
    <row r="250" spans="1:4" ht="21.75" customHeight="1" x14ac:dyDescent="0.25">
      <c r="A250" s="43" t="s">
        <v>464</v>
      </c>
      <c r="B250" s="117" t="s">
        <v>465</v>
      </c>
      <c r="C250" s="120">
        <v>12.66</v>
      </c>
      <c r="D250" s="1">
        <f t="shared" si="8"/>
        <v>11.900399999999999</v>
      </c>
    </row>
    <row r="251" spans="1:4" ht="21.75" customHeight="1" x14ac:dyDescent="0.25">
      <c r="A251" s="43" t="s">
        <v>466</v>
      </c>
      <c r="B251" s="117" t="s">
        <v>467</v>
      </c>
      <c r="C251" s="120">
        <v>5.26</v>
      </c>
      <c r="D251" s="1">
        <f t="shared" si="8"/>
        <v>4.9443999999999999</v>
      </c>
    </row>
    <row r="252" spans="1:4" ht="21.75" customHeight="1" x14ac:dyDescent="0.25">
      <c r="A252" s="43" t="s">
        <v>468</v>
      </c>
      <c r="B252" s="117" t="s">
        <v>469</v>
      </c>
      <c r="C252" s="120">
        <v>12.445</v>
      </c>
      <c r="D252" s="1">
        <f t="shared" si="8"/>
        <v>11.6983</v>
      </c>
    </row>
    <row r="253" spans="1:4" ht="21.75" customHeight="1" x14ac:dyDescent="0.25">
      <c r="A253" s="43" t="s">
        <v>470</v>
      </c>
      <c r="B253" s="117" t="s">
        <v>471</v>
      </c>
      <c r="C253" s="120">
        <v>2.95</v>
      </c>
      <c r="D253" s="1">
        <f t="shared" si="8"/>
        <v>2.7730000000000001</v>
      </c>
    </row>
    <row r="254" spans="1:4" ht="21.75" customHeight="1" x14ac:dyDescent="0.25">
      <c r="A254" s="43" t="s">
        <v>472</v>
      </c>
      <c r="B254" s="117" t="s">
        <v>473</v>
      </c>
      <c r="C254" s="120">
        <v>35</v>
      </c>
      <c r="D254" s="1">
        <f t="shared" si="8"/>
        <v>32.9</v>
      </c>
    </row>
    <row r="255" spans="1:4" ht="21.75" customHeight="1" x14ac:dyDescent="0.25">
      <c r="A255" s="43" t="s">
        <v>474</v>
      </c>
      <c r="B255" s="117" t="s">
        <v>475</v>
      </c>
      <c r="C255" s="120">
        <v>2.7</v>
      </c>
      <c r="D255" s="1">
        <f t="shared" si="8"/>
        <v>2.5379999999999998</v>
      </c>
    </row>
    <row r="256" spans="1:4" ht="21.75" customHeight="1" x14ac:dyDescent="0.25">
      <c r="A256" s="43" t="s">
        <v>476</v>
      </c>
      <c r="B256" s="117" t="s">
        <v>477</v>
      </c>
      <c r="C256" s="120">
        <v>23.79</v>
      </c>
      <c r="D256" s="1">
        <f t="shared" si="8"/>
        <v>22.362599999999997</v>
      </c>
    </row>
    <row r="257" spans="1:4" ht="21.75" customHeight="1" x14ac:dyDescent="0.25">
      <c r="A257" s="43" t="s">
        <v>478</v>
      </c>
      <c r="B257" s="117" t="s">
        <v>479</v>
      </c>
      <c r="C257" s="120">
        <v>8.5</v>
      </c>
      <c r="D257" s="1">
        <f t="shared" si="8"/>
        <v>7.9899999999999993</v>
      </c>
    </row>
    <row r="258" spans="1:4" ht="21.75" customHeight="1" x14ac:dyDescent="0.25">
      <c r="A258" s="43"/>
      <c r="B258" s="117" t="s">
        <v>480</v>
      </c>
      <c r="C258" s="120">
        <v>12.15</v>
      </c>
      <c r="D258" s="1">
        <f t="shared" si="8"/>
        <v>11.420999999999999</v>
      </c>
    </row>
    <row r="259" spans="1:4" ht="21.75" customHeight="1" x14ac:dyDescent="0.25">
      <c r="A259" s="43" t="s">
        <v>481</v>
      </c>
      <c r="B259" s="117" t="s">
        <v>482</v>
      </c>
      <c r="C259" s="120">
        <v>8.5</v>
      </c>
      <c r="D259" s="1">
        <f t="shared" si="8"/>
        <v>7.9899999999999993</v>
      </c>
    </row>
    <row r="260" spans="1:4" ht="21.75" customHeight="1" x14ac:dyDescent="0.25">
      <c r="A260" s="43" t="s">
        <v>483</v>
      </c>
      <c r="B260" s="117" t="s">
        <v>484</v>
      </c>
      <c r="C260" s="120">
        <v>10.130000000000001</v>
      </c>
      <c r="D260" s="1">
        <f t="shared" si="8"/>
        <v>9.5221999999999998</v>
      </c>
    </row>
    <row r="261" spans="1:4" ht="21.75" customHeight="1" x14ac:dyDescent="0.25">
      <c r="A261" s="43" t="s">
        <v>485</v>
      </c>
      <c r="B261" s="117" t="s">
        <v>486</v>
      </c>
      <c r="C261" s="120">
        <v>8.4600000000000009</v>
      </c>
      <c r="D261" s="1">
        <f t="shared" si="8"/>
        <v>7.9523999999999999</v>
      </c>
    </row>
    <row r="262" spans="1:4" ht="21.75" customHeight="1" x14ac:dyDescent="0.25">
      <c r="A262" s="43" t="s">
        <v>487</v>
      </c>
      <c r="B262" s="117" t="s">
        <v>488</v>
      </c>
      <c r="C262" s="120">
        <v>0.57999999999999996</v>
      </c>
      <c r="D262" s="1">
        <f t="shared" si="8"/>
        <v>0.54519999999999991</v>
      </c>
    </row>
    <row r="263" spans="1:4" ht="21.75" customHeight="1" x14ac:dyDescent="0.25">
      <c r="A263" s="43" t="s">
        <v>489</v>
      </c>
      <c r="B263" s="117" t="s">
        <v>490</v>
      </c>
      <c r="C263" s="120">
        <v>0.97199999999999998</v>
      </c>
      <c r="D263" s="1">
        <f t="shared" si="8"/>
        <v>0.91367999999999994</v>
      </c>
    </row>
    <row r="264" spans="1:4" ht="21.75" customHeight="1" x14ac:dyDescent="0.25">
      <c r="A264" s="43" t="s">
        <v>491</v>
      </c>
      <c r="B264" s="117" t="s">
        <v>492</v>
      </c>
      <c r="C264" s="120">
        <v>0.51</v>
      </c>
      <c r="D264" s="1">
        <f t="shared" si="8"/>
        <v>0.47939999999999999</v>
      </c>
    </row>
    <row r="265" spans="1:4" ht="21.75" customHeight="1" x14ac:dyDescent="0.25">
      <c r="A265" s="43" t="s">
        <v>493</v>
      </c>
      <c r="B265" s="117" t="s">
        <v>494</v>
      </c>
      <c r="C265" s="120">
        <v>0.97</v>
      </c>
      <c r="D265" s="1">
        <f t="shared" si="8"/>
        <v>0.91179999999999994</v>
      </c>
    </row>
    <row r="266" spans="1:4" ht="21.75" customHeight="1" x14ac:dyDescent="0.25">
      <c r="A266" s="43" t="s">
        <v>495</v>
      </c>
      <c r="B266" s="117" t="s">
        <v>496</v>
      </c>
      <c r="C266" s="120">
        <v>21.64</v>
      </c>
      <c r="D266" s="1">
        <f t="shared" si="8"/>
        <v>20.3416</v>
      </c>
    </row>
    <row r="267" spans="1:4" ht="21.75" customHeight="1" x14ac:dyDescent="0.25">
      <c r="A267" s="43" t="s">
        <v>497</v>
      </c>
      <c r="B267" s="117" t="s">
        <v>498</v>
      </c>
      <c r="C267" s="120">
        <v>2.72</v>
      </c>
      <c r="D267" s="1">
        <f t="shared" si="8"/>
        <v>2.5568</v>
      </c>
    </row>
    <row r="268" spans="1:4" ht="21.75" customHeight="1" x14ac:dyDescent="0.25">
      <c r="A268" s="43" t="s">
        <v>499</v>
      </c>
      <c r="B268" s="117" t="s">
        <v>500</v>
      </c>
      <c r="C268" s="120">
        <v>1.71</v>
      </c>
      <c r="D268" s="1">
        <f t="shared" si="8"/>
        <v>1.6073999999999999</v>
      </c>
    </row>
    <row r="269" spans="1:4" ht="21.75" customHeight="1" x14ac:dyDescent="0.25">
      <c r="A269" s="43" t="s">
        <v>501</v>
      </c>
      <c r="B269" s="117" t="s">
        <v>502</v>
      </c>
      <c r="C269" s="120">
        <v>5.42</v>
      </c>
      <c r="D269" s="1">
        <f t="shared" si="8"/>
        <v>5.0947999999999993</v>
      </c>
    </row>
    <row r="270" spans="1:4" ht="21.75" customHeight="1" x14ac:dyDescent="0.25">
      <c r="A270" s="43" t="s">
        <v>503</v>
      </c>
      <c r="B270" s="117" t="s">
        <v>504</v>
      </c>
      <c r="C270" s="120">
        <v>0.95</v>
      </c>
      <c r="D270" s="1">
        <f t="shared" si="8"/>
        <v>0.8929999999999999</v>
      </c>
    </row>
    <row r="271" spans="1:4" ht="21.75" customHeight="1" x14ac:dyDescent="0.25">
      <c r="A271" s="43" t="s">
        <v>505</v>
      </c>
      <c r="B271" s="117" t="s">
        <v>506</v>
      </c>
      <c r="C271" s="120">
        <v>1.35</v>
      </c>
      <c r="D271" s="1">
        <f t="shared" si="8"/>
        <v>1.2689999999999999</v>
      </c>
    </row>
    <row r="272" spans="1:4" ht="21.75" customHeight="1" x14ac:dyDescent="0.25">
      <c r="A272" s="43" t="s">
        <v>507</v>
      </c>
      <c r="B272" s="117" t="s">
        <v>508</v>
      </c>
      <c r="C272" s="120">
        <v>2.16</v>
      </c>
      <c r="D272" s="1">
        <f t="shared" si="8"/>
        <v>2.0304000000000002</v>
      </c>
    </row>
    <row r="273" spans="1:4" ht="21.75" customHeight="1" x14ac:dyDescent="0.25">
      <c r="A273" s="43" t="s">
        <v>509</v>
      </c>
      <c r="B273" s="117" t="s">
        <v>510</v>
      </c>
      <c r="C273" s="120">
        <v>1.8</v>
      </c>
      <c r="D273" s="1">
        <f t="shared" si="8"/>
        <v>1.6919999999999999</v>
      </c>
    </row>
    <row r="274" spans="1:4" ht="21.75" customHeight="1" x14ac:dyDescent="0.25">
      <c r="A274" s="43" t="s">
        <v>511</v>
      </c>
      <c r="B274" s="117" t="s">
        <v>512</v>
      </c>
      <c r="C274" s="120">
        <v>0.99</v>
      </c>
      <c r="D274" s="1">
        <f t="shared" si="8"/>
        <v>0.93059999999999998</v>
      </c>
    </row>
    <row r="275" spans="1:4" ht="21.75" customHeight="1" x14ac:dyDescent="0.25">
      <c r="A275" s="43" t="s">
        <v>513</v>
      </c>
      <c r="B275" s="117" t="s">
        <v>514</v>
      </c>
      <c r="C275" s="120">
        <v>0.52</v>
      </c>
      <c r="D275" s="1">
        <f t="shared" si="8"/>
        <v>0.48880000000000001</v>
      </c>
    </row>
    <row r="276" spans="1:4" ht="21.75" customHeight="1" x14ac:dyDescent="0.25">
      <c r="A276" s="43" t="s">
        <v>515</v>
      </c>
      <c r="B276" s="117" t="s">
        <v>516</v>
      </c>
      <c r="C276" s="120">
        <v>0.93</v>
      </c>
      <c r="D276" s="1">
        <f t="shared" si="8"/>
        <v>0.87419999999999998</v>
      </c>
    </row>
    <row r="277" spans="1:4" ht="21.75" customHeight="1" x14ac:dyDescent="0.25">
      <c r="A277" s="43" t="s">
        <v>517</v>
      </c>
      <c r="B277" s="117" t="s">
        <v>518</v>
      </c>
      <c r="C277" s="120">
        <v>49.93</v>
      </c>
      <c r="D277" s="1">
        <f t="shared" si="8"/>
        <v>46.934199999999997</v>
      </c>
    </row>
    <row r="278" spans="1:4" ht="21.75" customHeight="1" x14ac:dyDescent="0.25">
      <c r="A278" s="43" t="s">
        <v>519</v>
      </c>
      <c r="B278" s="117" t="s">
        <v>520</v>
      </c>
      <c r="C278" s="120">
        <v>10.64</v>
      </c>
      <c r="D278" s="1">
        <f t="shared" si="8"/>
        <v>10.0016</v>
      </c>
    </row>
    <row r="279" spans="1:4" ht="21.75" customHeight="1" x14ac:dyDescent="0.25">
      <c r="A279" s="43" t="s">
        <v>521</v>
      </c>
      <c r="B279" s="117" t="s">
        <v>522</v>
      </c>
      <c r="C279" s="120">
        <v>11.349</v>
      </c>
      <c r="D279" s="1">
        <f t="shared" si="8"/>
        <v>10.668059999999999</v>
      </c>
    </row>
    <row r="280" spans="1:4" ht="21.75" customHeight="1" x14ac:dyDescent="0.25">
      <c r="A280" s="43"/>
      <c r="B280" s="117" t="s">
        <v>523</v>
      </c>
      <c r="C280" s="120"/>
    </row>
    <row r="281" spans="1:4" ht="21.75" customHeight="1" x14ac:dyDescent="0.25">
      <c r="A281" s="43" t="s">
        <v>524</v>
      </c>
      <c r="B281" s="117" t="s">
        <v>525</v>
      </c>
      <c r="C281" s="120">
        <v>55.74</v>
      </c>
      <c r="D281" s="1">
        <f t="shared" si="8"/>
        <v>52.395600000000002</v>
      </c>
    </row>
    <row r="282" spans="1:4" ht="21.75" customHeight="1" x14ac:dyDescent="0.25">
      <c r="A282" s="43" t="s">
        <v>526</v>
      </c>
      <c r="B282" s="117" t="s">
        <v>527</v>
      </c>
      <c r="C282" s="120">
        <v>30.78</v>
      </c>
      <c r="D282" s="1">
        <f t="shared" si="8"/>
        <v>28.933199999999999</v>
      </c>
    </row>
    <row r="283" spans="1:4" ht="21.75" customHeight="1" x14ac:dyDescent="0.25">
      <c r="A283" s="43" t="s">
        <v>528</v>
      </c>
      <c r="B283" s="117" t="s">
        <v>529</v>
      </c>
      <c r="C283" s="120">
        <v>58.5</v>
      </c>
      <c r="D283" s="1">
        <f t="shared" si="8"/>
        <v>54.989999999999995</v>
      </c>
    </row>
    <row r="284" spans="1:4" ht="21.75" customHeight="1" x14ac:dyDescent="0.25">
      <c r="A284" s="43" t="s">
        <v>530</v>
      </c>
      <c r="B284" s="117" t="s">
        <v>531</v>
      </c>
      <c r="C284" s="120">
        <v>30.31</v>
      </c>
      <c r="D284" s="1">
        <f t="shared" si="8"/>
        <v>28.491399999999999</v>
      </c>
    </row>
    <row r="285" spans="1:4" ht="21.75" customHeight="1" x14ac:dyDescent="0.25">
      <c r="A285" s="43" t="s">
        <v>532</v>
      </c>
      <c r="B285" s="117" t="s">
        <v>533</v>
      </c>
      <c r="C285" s="120">
        <v>16.5</v>
      </c>
      <c r="D285" s="1">
        <f t="shared" si="8"/>
        <v>15.51</v>
      </c>
    </row>
    <row r="286" spans="1:4" ht="21.75" customHeight="1" x14ac:dyDescent="0.25">
      <c r="A286" s="43" t="s">
        <v>534</v>
      </c>
      <c r="B286" s="117" t="s">
        <v>535</v>
      </c>
      <c r="C286" s="120">
        <v>0.3</v>
      </c>
      <c r="D286" s="1">
        <f t="shared" si="8"/>
        <v>0.28199999999999997</v>
      </c>
    </row>
    <row r="287" spans="1:4" ht="21.75" customHeight="1" x14ac:dyDescent="0.25">
      <c r="A287" s="43" t="s">
        <v>536</v>
      </c>
      <c r="B287" s="117" t="s">
        <v>537</v>
      </c>
      <c r="C287" s="120">
        <v>20</v>
      </c>
      <c r="D287" s="1">
        <f t="shared" si="8"/>
        <v>18.799999999999997</v>
      </c>
    </row>
    <row r="288" spans="1:4" ht="21.75" customHeight="1" x14ac:dyDescent="0.25">
      <c r="A288" s="43" t="s">
        <v>538</v>
      </c>
      <c r="B288" s="117" t="s">
        <v>539</v>
      </c>
      <c r="C288" s="120">
        <v>9.15</v>
      </c>
      <c r="D288" s="1">
        <f t="shared" si="8"/>
        <v>8.6009999999999991</v>
      </c>
    </row>
    <row r="289" spans="1:4" ht="21.75" customHeight="1" x14ac:dyDescent="0.25">
      <c r="A289" s="43"/>
      <c r="B289" s="117" t="s">
        <v>540</v>
      </c>
      <c r="C289" s="120"/>
    </row>
    <row r="290" spans="1:4" ht="21.75" customHeight="1" x14ac:dyDescent="0.25">
      <c r="A290" s="43"/>
      <c r="B290" s="117" t="s">
        <v>541</v>
      </c>
      <c r="C290" s="120">
        <v>1.91</v>
      </c>
      <c r="D290" s="1">
        <f>+C290*0.95</f>
        <v>1.8144999999999998</v>
      </c>
    </row>
    <row r="291" spans="1:4" ht="21.75" customHeight="1" x14ac:dyDescent="0.25">
      <c r="A291" s="43" t="s">
        <v>542</v>
      </c>
      <c r="B291" s="117" t="s">
        <v>543</v>
      </c>
      <c r="C291" s="120">
        <v>31.5</v>
      </c>
      <c r="D291" s="1">
        <f t="shared" ref="D291:D293" si="9">+C291*0.95</f>
        <v>29.924999999999997</v>
      </c>
    </row>
    <row r="292" spans="1:4" ht="21.75" customHeight="1" x14ac:dyDescent="0.25">
      <c r="A292" s="43" t="s">
        <v>544</v>
      </c>
      <c r="B292" s="117" t="s">
        <v>545</v>
      </c>
      <c r="C292" s="120">
        <v>10.65</v>
      </c>
      <c r="D292" s="1">
        <f t="shared" si="9"/>
        <v>10.1175</v>
      </c>
    </row>
    <row r="293" spans="1:4" ht="21.75" customHeight="1" x14ac:dyDescent="0.25">
      <c r="A293" s="43" t="s">
        <v>546</v>
      </c>
      <c r="B293" s="117" t="s">
        <v>547</v>
      </c>
      <c r="C293" s="120">
        <v>4.79</v>
      </c>
      <c r="D293" s="1">
        <f t="shared" si="9"/>
        <v>4.5504999999999995</v>
      </c>
    </row>
    <row r="294" spans="1:4" ht="21.75" customHeight="1" x14ac:dyDescent="0.25">
      <c r="A294" s="43" t="s">
        <v>548</v>
      </c>
      <c r="B294" s="117" t="s">
        <v>549</v>
      </c>
      <c r="C294" s="120"/>
    </row>
    <row r="295" spans="1:4" ht="21.75" customHeight="1" x14ac:dyDescent="0.25">
      <c r="A295" s="43" t="s">
        <v>550</v>
      </c>
      <c r="B295" s="117" t="s">
        <v>551</v>
      </c>
      <c r="C295" s="120"/>
    </row>
    <row r="296" spans="1:4" ht="21.75" customHeight="1" x14ac:dyDescent="0.25">
      <c r="A296" s="43" t="s">
        <v>552</v>
      </c>
      <c r="B296" s="117" t="s">
        <v>553</v>
      </c>
      <c r="C296" s="120"/>
    </row>
    <row r="297" spans="1:4" ht="21.75" customHeight="1" x14ac:dyDescent="0.25">
      <c r="A297" s="43" t="s">
        <v>554</v>
      </c>
      <c r="B297" s="117" t="s">
        <v>555</v>
      </c>
      <c r="C297" s="120">
        <v>47.43</v>
      </c>
      <c r="D297" s="1">
        <f>+C297*0.95</f>
        <v>45.058499999999995</v>
      </c>
    </row>
    <row r="298" spans="1:4" ht="21.75" customHeight="1" x14ac:dyDescent="0.25">
      <c r="A298" s="43" t="s">
        <v>556</v>
      </c>
      <c r="B298" s="117" t="s">
        <v>557</v>
      </c>
      <c r="C298" s="120">
        <v>117.12</v>
      </c>
      <c r="D298" s="1">
        <f t="shared" ref="D298:D361" si="10">+C298*0.95</f>
        <v>111.264</v>
      </c>
    </row>
    <row r="299" spans="1:4" ht="21.75" customHeight="1" x14ac:dyDescent="0.25">
      <c r="A299" s="43" t="s">
        <v>558</v>
      </c>
      <c r="B299" s="117" t="s">
        <v>559</v>
      </c>
      <c r="C299" s="120">
        <v>1.7</v>
      </c>
      <c r="D299" s="1">
        <f t="shared" si="10"/>
        <v>1.615</v>
      </c>
    </row>
    <row r="300" spans="1:4" ht="21.75" customHeight="1" x14ac:dyDescent="0.25">
      <c r="A300" s="43" t="s">
        <v>560</v>
      </c>
      <c r="B300" s="117" t="s">
        <v>561</v>
      </c>
      <c r="C300" s="120">
        <v>0.56599999999999995</v>
      </c>
      <c r="D300" s="1">
        <f t="shared" si="10"/>
        <v>0.53769999999999996</v>
      </c>
    </row>
    <row r="301" spans="1:4" ht="21.75" customHeight="1" x14ac:dyDescent="0.25">
      <c r="A301" s="43"/>
      <c r="B301" s="117" t="s">
        <v>562</v>
      </c>
      <c r="C301" s="120">
        <v>4.95</v>
      </c>
      <c r="D301" s="1">
        <f t="shared" si="10"/>
        <v>4.7024999999999997</v>
      </c>
    </row>
    <row r="302" spans="1:4" ht="21.75" customHeight="1" x14ac:dyDescent="0.25">
      <c r="A302" s="43" t="s">
        <v>563</v>
      </c>
      <c r="B302" s="117" t="s">
        <v>564</v>
      </c>
      <c r="C302" s="120">
        <v>14.95</v>
      </c>
      <c r="D302" s="1">
        <f t="shared" si="10"/>
        <v>14.202499999999999</v>
      </c>
    </row>
    <row r="303" spans="1:4" ht="21.75" customHeight="1" x14ac:dyDescent="0.25">
      <c r="A303" s="43" t="s">
        <v>565</v>
      </c>
      <c r="B303" s="117" t="s">
        <v>566</v>
      </c>
      <c r="C303" s="120">
        <v>9.59</v>
      </c>
      <c r="D303" s="1">
        <f t="shared" si="10"/>
        <v>9.1105</v>
      </c>
    </row>
    <row r="304" spans="1:4" ht="21.75" customHeight="1" x14ac:dyDescent="0.25">
      <c r="A304" s="43" t="s">
        <v>567</v>
      </c>
      <c r="B304" s="117" t="s">
        <v>568</v>
      </c>
      <c r="C304" s="120">
        <v>5.99</v>
      </c>
      <c r="D304" s="1">
        <f t="shared" si="10"/>
        <v>5.6905000000000001</v>
      </c>
    </row>
    <row r="305" spans="1:4" ht="21.75" customHeight="1" x14ac:dyDescent="0.25">
      <c r="A305" s="43" t="s">
        <v>569</v>
      </c>
      <c r="B305" s="117" t="s">
        <v>570</v>
      </c>
      <c r="C305" s="120">
        <v>5.08</v>
      </c>
      <c r="D305" s="1">
        <f t="shared" si="10"/>
        <v>4.8259999999999996</v>
      </c>
    </row>
    <row r="306" spans="1:4" ht="21.75" customHeight="1" x14ac:dyDescent="0.25">
      <c r="A306" s="43" t="s">
        <v>571</v>
      </c>
      <c r="B306" s="117" t="s">
        <v>572</v>
      </c>
      <c r="C306" s="120">
        <v>6.36</v>
      </c>
      <c r="D306" s="1">
        <f t="shared" si="10"/>
        <v>6.0419999999999998</v>
      </c>
    </row>
    <row r="307" spans="1:4" ht="21.75" customHeight="1" x14ac:dyDescent="0.25">
      <c r="A307" s="43" t="s">
        <v>573</v>
      </c>
      <c r="B307" s="117" t="s">
        <v>574</v>
      </c>
      <c r="C307" s="120">
        <v>7.29</v>
      </c>
      <c r="D307" s="1">
        <f t="shared" si="10"/>
        <v>6.9254999999999995</v>
      </c>
    </row>
    <row r="308" spans="1:4" ht="21.75" customHeight="1" x14ac:dyDescent="0.25">
      <c r="A308" s="43" t="s">
        <v>575</v>
      </c>
      <c r="B308" s="117" t="s">
        <v>576</v>
      </c>
      <c r="C308" s="120">
        <v>28.83</v>
      </c>
      <c r="D308" s="1">
        <f t="shared" si="10"/>
        <v>27.388499999999997</v>
      </c>
    </row>
    <row r="309" spans="1:4" ht="21.75" customHeight="1" x14ac:dyDescent="0.25">
      <c r="A309" s="43" t="s">
        <v>577</v>
      </c>
      <c r="B309" s="117" t="s">
        <v>578</v>
      </c>
      <c r="C309" s="120">
        <v>76.5</v>
      </c>
      <c r="D309" s="1">
        <f t="shared" si="10"/>
        <v>72.674999999999997</v>
      </c>
    </row>
    <row r="310" spans="1:4" ht="21.75" customHeight="1" x14ac:dyDescent="0.25">
      <c r="A310" s="43" t="s">
        <v>579</v>
      </c>
      <c r="B310" s="117" t="s">
        <v>580</v>
      </c>
      <c r="C310" s="120">
        <v>4.1900000000000004</v>
      </c>
      <c r="D310" s="1">
        <f t="shared" si="10"/>
        <v>3.9805000000000001</v>
      </c>
    </row>
    <row r="311" spans="1:4" ht="21.75" customHeight="1" x14ac:dyDescent="0.25">
      <c r="A311" s="43" t="s">
        <v>581</v>
      </c>
      <c r="B311" s="117" t="s">
        <v>582</v>
      </c>
      <c r="C311" s="120">
        <v>15.85</v>
      </c>
      <c r="D311" s="1">
        <f t="shared" si="10"/>
        <v>15.057499999999999</v>
      </c>
    </row>
    <row r="312" spans="1:4" ht="21.75" customHeight="1" x14ac:dyDescent="0.25">
      <c r="A312" s="43" t="s">
        <v>583</v>
      </c>
      <c r="B312" s="117" t="s">
        <v>584</v>
      </c>
      <c r="C312" s="120">
        <v>5.45</v>
      </c>
      <c r="D312" s="1">
        <f t="shared" si="10"/>
        <v>5.1775000000000002</v>
      </c>
    </row>
    <row r="313" spans="1:4" ht="21.75" customHeight="1" x14ac:dyDescent="0.25">
      <c r="A313" s="43" t="s">
        <v>585</v>
      </c>
      <c r="B313" s="117" t="s">
        <v>586</v>
      </c>
      <c r="C313" s="120">
        <v>6.5</v>
      </c>
      <c r="D313" s="1">
        <f t="shared" si="10"/>
        <v>6.1749999999999998</v>
      </c>
    </row>
    <row r="314" spans="1:4" ht="21.75" customHeight="1" x14ac:dyDescent="0.25">
      <c r="A314" s="43" t="s">
        <v>587</v>
      </c>
      <c r="B314" s="117" t="s">
        <v>588</v>
      </c>
      <c r="C314" s="120">
        <v>6.98</v>
      </c>
      <c r="D314" s="1">
        <f t="shared" si="10"/>
        <v>6.6310000000000002</v>
      </c>
    </row>
    <row r="315" spans="1:4" ht="21.75" customHeight="1" x14ac:dyDescent="0.25">
      <c r="A315" s="43" t="s">
        <v>589</v>
      </c>
      <c r="B315" s="117" t="s">
        <v>590</v>
      </c>
      <c r="C315" s="120">
        <v>10.34</v>
      </c>
      <c r="D315" s="1">
        <f t="shared" si="10"/>
        <v>9.8229999999999986</v>
      </c>
    </row>
    <row r="316" spans="1:4" ht="21.75" customHeight="1" x14ac:dyDescent="0.25">
      <c r="A316" s="43" t="s">
        <v>591</v>
      </c>
      <c r="B316" s="117" t="s">
        <v>592</v>
      </c>
      <c r="C316" s="120">
        <v>11.28</v>
      </c>
      <c r="D316" s="1">
        <f t="shared" si="10"/>
        <v>10.715999999999999</v>
      </c>
    </row>
    <row r="317" spans="1:4" ht="21.75" customHeight="1" x14ac:dyDescent="0.25">
      <c r="A317" s="43" t="s">
        <v>593</v>
      </c>
      <c r="B317" s="117" t="s">
        <v>594</v>
      </c>
      <c r="C317" s="120">
        <v>13.74</v>
      </c>
      <c r="D317" s="1">
        <f t="shared" si="10"/>
        <v>13.052999999999999</v>
      </c>
    </row>
    <row r="318" spans="1:4" ht="21.75" customHeight="1" x14ac:dyDescent="0.25">
      <c r="A318" s="43" t="s">
        <v>595</v>
      </c>
      <c r="B318" s="117" t="s">
        <v>596</v>
      </c>
      <c r="C318" s="120">
        <v>5.69</v>
      </c>
      <c r="D318" s="1">
        <f t="shared" si="10"/>
        <v>5.4055</v>
      </c>
    </row>
    <row r="319" spans="1:4" ht="21.75" customHeight="1" x14ac:dyDescent="0.25">
      <c r="A319" s="43" t="s">
        <v>597</v>
      </c>
      <c r="B319" s="117" t="s">
        <v>598</v>
      </c>
      <c r="C319" s="120">
        <v>6.39</v>
      </c>
      <c r="D319" s="1">
        <f t="shared" si="10"/>
        <v>6.0704999999999991</v>
      </c>
    </row>
    <row r="320" spans="1:4" ht="21.75" customHeight="1" x14ac:dyDescent="0.25">
      <c r="A320" s="43" t="s">
        <v>599</v>
      </c>
      <c r="B320" s="117" t="s">
        <v>600</v>
      </c>
      <c r="C320" s="120">
        <v>7.59</v>
      </c>
      <c r="D320" s="1">
        <f t="shared" si="10"/>
        <v>7.2104999999999997</v>
      </c>
    </row>
    <row r="321" spans="1:4" ht="21.75" customHeight="1" x14ac:dyDescent="0.25">
      <c r="A321" s="43" t="s">
        <v>601</v>
      </c>
      <c r="B321" s="117" t="s">
        <v>602</v>
      </c>
      <c r="C321" s="120">
        <v>8.85</v>
      </c>
      <c r="D321" s="1">
        <f t="shared" si="10"/>
        <v>8.4074999999999989</v>
      </c>
    </row>
    <row r="322" spans="1:4" ht="21.75" customHeight="1" x14ac:dyDescent="0.25">
      <c r="A322" s="43" t="s">
        <v>603</v>
      </c>
      <c r="B322" s="117" t="s">
        <v>604</v>
      </c>
      <c r="C322" s="120">
        <v>11.65</v>
      </c>
      <c r="D322" s="1">
        <f t="shared" si="10"/>
        <v>11.067499999999999</v>
      </c>
    </row>
    <row r="323" spans="1:4" ht="21.75" customHeight="1" x14ac:dyDescent="0.25">
      <c r="A323" s="43" t="s">
        <v>605</v>
      </c>
      <c r="B323" s="117" t="s">
        <v>606</v>
      </c>
      <c r="C323" s="120">
        <v>13.49</v>
      </c>
      <c r="D323" s="1">
        <f t="shared" si="10"/>
        <v>12.8155</v>
      </c>
    </row>
    <row r="324" spans="1:4" ht="21.75" customHeight="1" x14ac:dyDescent="0.25">
      <c r="A324" s="43" t="s">
        <v>607</v>
      </c>
      <c r="B324" s="117" t="s">
        <v>608</v>
      </c>
      <c r="C324" s="120">
        <v>17.59</v>
      </c>
      <c r="D324" s="1">
        <f t="shared" si="10"/>
        <v>16.7105</v>
      </c>
    </row>
    <row r="325" spans="1:4" ht="21.75" customHeight="1" x14ac:dyDescent="0.25">
      <c r="A325" s="43" t="s">
        <v>609</v>
      </c>
      <c r="B325" s="117" t="s">
        <v>610</v>
      </c>
      <c r="C325" s="120">
        <v>22.64</v>
      </c>
      <c r="D325" s="1">
        <f t="shared" si="10"/>
        <v>21.507999999999999</v>
      </c>
    </row>
    <row r="326" spans="1:4" ht="21.75" customHeight="1" x14ac:dyDescent="0.25">
      <c r="A326" s="43" t="s">
        <v>611</v>
      </c>
      <c r="B326" s="117" t="s">
        <v>612</v>
      </c>
      <c r="C326" s="120">
        <v>5.03</v>
      </c>
      <c r="D326" s="1">
        <f t="shared" si="10"/>
        <v>4.7785000000000002</v>
      </c>
    </row>
    <row r="327" spans="1:4" ht="21.75" customHeight="1" x14ac:dyDescent="0.25">
      <c r="A327" s="43" t="s">
        <v>613</v>
      </c>
      <c r="B327" s="117" t="s">
        <v>614</v>
      </c>
      <c r="C327" s="120">
        <v>1.82</v>
      </c>
      <c r="D327" s="1">
        <f t="shared" si="10"/>
        <v>1.7289999999999999</v>
      </c>
    </row>
    <row r="328" spans="1:4" ht="21.75" customHeight="1" x14ac:dyDescent="0.25">
      <c r="A328" s="43" t="s">
        <v>615</v>
      </c>
      <c r="B328" s="117" t="s">
        <v>616</v>
      </c>
      <c r="C328" s="120">
        <v>8.4499999999999993</v>
      </c>
      <c r="D328" s="1">
        <f t="shared" si="10"/>
        <v>8.0274999999999981</v>
      </c>
    </row>
    <row r="329" spans="1:4" ht="21.75" customHeight="1" x14ac:dyDescent="0.25">
      <c r="A329" s="43" t="s">
        <v>617</v>
      </c>
      <c r="B329" s="117" t="s">
        <v>618</v>
      </c>
      <c r="C329" s="120">
        <v>9.25</v>
      </c>
      <c r="D329" s="1">
        <f t="shared" si="10"/>
        <v>8.7874999999999996</v>
      </c>
    </row>
    <row r="330" spans="1:4" ht="21.75" customHeight="1" x14ac:dyDescent="0.25">
      <c r="A330" s="43" t="s">
        <v>619</v>
      </c>
      <c r="B330" s="117" t="s">
        <v>620</v>
      </c>
      <c r="C330" s="120">
        <v>8.32</v>
      </c>
      <c r="D330" s="1">
        <f t="shared" si="10"/>
        <v>7.9039999999999999</v>
      </c>
    </row>
    <row r="331" spans="1:4" ht="21.75" customHeight="1" x14ac:dyDescent="0.25">
      <c r="A331" s="43" t="s">
        <v>621</v>
      </c>
      <c r="B331" s="117" t="s">
        <v>622</v>
      </c>
      <c r="C331" s="120">
        <v>7.0000000000000007E-2</v>
      </c>
      <c r="D331" s="1">
        <f t="shared" si="10"/>
        <v>6.6500000000000004E-2</v>
      </c>
    </row>
    <row r="332" spans="1:4" ht="21.75" customHeight="1" x14ac:dyDescent="0.25">
      <c r="A332" s="43" t="s">
        <v>623</v>
      </c>
      <c r="B332" s="117" t="s">
        <v>624</v>
      </c>
      <c r="C332" s="120">
        <v>2.25</v>
      </c>
      <c r="D332" s="1">
        <f t="shared" si="10"/>
        <v>2.1374999999999997</v>
      </c>
    </row>
    <row r="333" spans="1:4" ht="21.75" customHeight="1" x14ac:dyDescent="0.25">
      <c r="A333" s="43"/>
      <c r="B333" s="117" t="s">
        <v>625</v>
      </c>
      <c r="C333" s="120">
        <v>3.2</v>
      </c>
      <c r="D333" s="1">
        <f t="shared" si="10"/>
        <v>3.04</v>
      </c>
    </row>
    <row r="334" spans="1:4" ht="21.75" customHeight="1" x14ac:dyDescent="0.25">
      <c r="A334" s="43" t="s">
        <v>626</v>
      </c>
      <c r="B334" s="117" t="s">
        <v>627</v>
      </c>
      <c r="C334" s="120">
        <v>2.94</v>
      </c>
      <c r="D334" s="1">
        <f t="shared" si="10"/>
        <v>2.7929999999999997</v>
      </c>
    </row>
    <row r="335" spans="1:4" ht="21.75" customHeight="1" x14ac:dyDescent="0.25">
      <c r="A335" s="167" t="s">
        <v>628</v>
      </c>
      <c r="B335" s="168" t="s">
        <v>629</v>
      </c>
      <c r="C335" s="169">
        <v>10.260999999999999</v>
      </c>
      <c r="D335" s="1">
        <f t="shared" si="10"/>
        <v>9.7479499999999994</v>
      </c>
    </row>
    <row r="336" spans="1:4" ht="21.75" customHeight="1" x14ac:dyDescent="0.25">
      <c r="A336" s="43" t="s">
        <v>630</v>
      </c>
      <c r="B336" s="117" t="s">
        <v>631</v>
      </c>
      <c r="C336" s="120">
        <v>8.48</v>
      </c>
      <c r="D336" s="1">
        <f t="shared" si="10"/>
        <v>8.0559999999999992</v>
      </c>
    </row>
    <row r="337" spans="1:4" ht="21.75" customHeight="1" x14ac:dyDescent="0.25">
      <c r="A337" s="43" t="s">
        <v>632</v>
      </c>
      <c r="B337" s="117" t="s">
        <v>633</v>
      </c>
      <c r="C337" s="120">
        <v>2.95</v>
      </c>
      <c r="D337" s="1">
        <f t="shared" si="10"/>
        <v>2.8025000000000002</v>
      </c>
    </row>
    <row r="338" spans="1:4" ht="21.75" customHeight="1" x14ac:dyDescent="0.25">
      <c r="A338" s="43" t="s">
        <v>634</v>
      </c>
      <c r="B338" s="117" t="s">
        <v>635</v>
      </c>
      <c r="C338" s="120">
        <v>2.2999999999999998</v>
      </c>
      <c r="D338" s="1">
        <f t="shared" si="10"/>
        <v>2.1849999999999996</v>
      </c>
    </row>
    <row r="339" spans="1:4" ht="21.75" customHeight="1" x14ac:dyDescent="0.25">
      <c r="A339" s="43" t="s">
        <v>636</v>
      </c>
      <c r="B339" s="117" t="s">
        <v>637</v>
      </c>
      <c r="C339" s="120">
        <v>2.95</v>
      </c>
      <c r="D339" s="1">
        <f t="shared" si="10"/>
        <v>2.8025000000000002</v>
      </c>
    </row>
    <row r="340" spans="1:4" ht="21.75" customHeight="1" x14ac:dyDescent="0.25">
      <c r="A340" s="43" t="s">
        <v>638</v>
      </c>
      <c r="B340" s="117" t="s">
        <v>639</v>
      </c>
      <c r="C340" s="120">
        <v>4.8099999999999996</v>
      </c>
      <c r="D340" s="1">
        <f t="shared" si="10"/>
        <v>4.5694999999999997</v>
      </c>
    </row>
    <row r="341" spans="1:4" ht="21.75" customHeight="1" x14ac:dyDescent="0.25">
      <c r="A341" s="43" t="s">
        <v>640</v>
      </c>
      <c r="B341" s="117" t="s">
        <v>641</v>
      </c>
      <c r="C341" s="120">
        <v>7.01</v>
      </c>
      <c r="D341" s="1">
        <f t="shared" si="10"/>
        <v>6.6594999999999995</v>
      </c>
    </row>
    <row r="342" spans="1:4" ht="21.75" customHeight="1" x14ac:dyDescent="0.25">
      <c r="A342" s="43" t="s">
        <v>642</v>
      </c>
      <c r="B342" s="117" t="s">
        <v>643</v>
      </c>
      <c r="C342" s="120">
        <v>2.95</v>
      </c>
      <c r="D342" s="1">
        <f t="shared" si="10"/>
        <v>2.8025000000000002</v>
      </c>
    </row>
    <row r="343" spans="1:4" ht="21.75" customHeight="1" x14ac:dyDescent="0.25">
      <c r="A343" s="43" t="s">
        <v>644</v>
      </c>
      <c r="B343" s="117" t="s">
        <v>645</v>
      </c>
      <c r="C343" s="120">
        <v>0.95</v>
      </c>
      <c r="D343" s="1">
        <f t="shared" si="10"/>
        <v>0.90249999999999997</v>
      </c>
    </row>
    <row r="344" spans="1:4" ht="21.75" customHeight="1" x14ac:dyDescent="0.25">
      <c r="A344" s="43" t="s">
        <v>646</v>
      </c>
      <c r="B344" s="117" t="s">
        <v>647</v>
      </c>
      <c r="C344" s="120">
        <v>4.38</v>
      </c>
      <c r="D344" s="1">
        <f t="shared" si="10"/>
        <v>4.1609999999999996</v>
      </c>
    </row>
    <row r="345" spans="1:4" ht="21.75" customHeight="1" x14ac:dyDescent="0.25">
      <c r="A345" s="43" t="s">
        <v>648</v>
      </c>
      <c r="B345" s="117" t="s">
        <v>649</v>
      </c>
      <c r="C345" s="120">
        <v>2.34</v>
      </c>
      <c r="D345" s="1">
        <f t="shared" si="10"/>
        <v>2.2229999999999999</v>
      </c>
    </row>
    <row r="346" spans="1:4" ht="21.75" customHeight="1" x14ac:dyDescent="0.25">
      <c r="A346" s="43" t="s">
        <v>650</v>
      </c>
      <c r="B346" s="117" t="s">
        <v>651</v>
      </c>
      <c r="C346" s="120">
        <v>1.03</v>
      </c>
      <c r="D346" s="1">
        <f t="shared" si="10"/>
        <v>0.97849999999999993</v>
      </c>
    </row>
    <row r="347" spans="1:4" ht="21.75" customHeight="1" x14ac:dyDescent="0.25">
      <c r="A347" s="43" t="s">
        <v>652</v>
      </c>
      <c r="B347" s="117" t="s">
        <v>653</v>
      </c>
      <c r="C347" s="120">
        <v>1.5</v>
      </c>
      <c r="D347" s="1">
        <f t="shared" si="10"/>
        <v>1.4249999999999998</v>
      </c>
    </row>
    <row r="348" spans="1:4" ht="21.75" customHeight="1" x14ac:dyDescent="0.25">
      <c r="A348" s="43" t="s">
        <v>654</v>
      </c>
      <c r="B348" s="117" t="s">
        <v>655</v>
      </c>
      <c r="C348" s="120">
        <v>6.71</v>
      </c>
      <c r="D348" s="1">
        <f t="shared" si="10"/>
        <v>6.3744999999999994</v>
      </c>
    </row>
    <row r="349" spans="1:4" ht="21.75" customHeight="1" x14ac:dyDescent="0.25">
      <c r="A349" s="43" t="s">
        <v>656</v>
      </c>
      <c r="B349" s="117" t="s">
        <v>657</v>
      </c>
      <c r="C349" s="120">
        <v>5.57</v>
      </c>
      <c r="D349" s="1">
        <f t="shared" si="10"/>
        <v>5.2915000000000001</v>
      </c>
    </row>
    <row r="350" spans="1:4" ht="21.75" customHeight="1" x14ac:dyDescent="0.25">
      <c r="A350" s="43" t="s">
        <v>658</v>
      </c>
      <c r="B350" s="117" t="s">
        <v>659</v>
      </c>
      <c r="C350" s="120">
        <v>3.22</v>
      </c>
      <c r="D350" s="1">
        <f t="shared" si="10"/>
        <v>3.0590000000000002</v>
      </c>
    </row>
    <row r="351" spans="1:4" ht="21.75" customHeight="1" x14ac:dyDescent="0.25">
      <c r="A351" s="43" t="s">
        <v>660</v>
      </c>
      <c r="B351" s="117" t="s">
        <v>661</v>
      </c>
      <c r="C351" s="120">
        <v>6.73</v>
      </c>
      <c r="D351" s="1">
        <f t="shared" si="10"/>
        <v>6.3935000000000004</v>
      </c>
    </row>
    <row r="352" spans="1:4" ht="21.75" customHeight="1" x14ac:dyDescent="0.25">
      <c r="A352" s="43" t="s">
        <v>662</v>
      </c>
      <c r="B352" s="117" t="s">
        <v>663</v>
      </c>
      <c r="C352" s="120">
        <v>5.8230000000000004</v>
      </c>
      <c r="D352" s="1">
        <f t="shared" si="10"/>
        <v>5.5318500000000004</v>
      </c>
    </row>
    <row r="353" spans="1:4" ht="21.75" customHeight="1" x14ac:dyDescent="0.25">
      <c r="A353" s="43" t="s">
        <v>664</v>
      </c>
      <c r="B353" s="117" t="s">
        <v>665</v>
      </c>
      <c r="C353" s="120">
        <v>3.49</v>
      </c>
      <c r="D353" s="1">
        <f t="shared" si="10"/>
        <v>3.3155000000000001</v>
      </c>
    </row>
    <row r="354" spans="1:4" ht="21.75" customHeight="1" x14ac:dyDescent="0.25">
      <c r="A354" s="43" t="s">
        <v>666</v>
      </c>
      <c r="B354" s="117" t="s">
        <v>667</v>
      </c>
      <c r="C354" s="120">
        <v>5.6</v>
      </c>
      <c r="D354" s="1">
        <f t="shared" si="10"/>
        <v>5.3199999999999994</v>
      </c>
    </row>
    <row r="355" spans="1:4" ht="21.75" customHeight="1" x14ac:dyDescent="0.25">
      <c r="A355" s="43" t="s">
        <v>668</v>
      </c>
      <c r="B355" s="117" t="s">
        <v>669</v>
      </c>
      <c r="C355" s="120">
        <v>2.5</v>
      </c>
      <c r="D355" s="1">
        <f t="shared" si="10"/>
        <v>2.375</v>
      </c>
    </row>
    <row r="356" spans="1:4" ht="21.75" customHeight="1" x14ac:dyDescent="0.25">
      <c r="A356" s="43" t="s">
        <v>670</v>
      </c>
      <c r="B356" s="117" t="s">
        <v>671</v>
      </c>
      <c r="C356" s="120">
        <v>3.09</v>
      </c>
      <c r="D356" s="1">
        <f t="shared" si="10"/>
        <v>2.9354999999999998</v>
      </c>
    </row>
    <row r="357" spans="1:4" ht="21.75" customHeight="1" x14ac:dyDescent="0.25">
      <c r="A357" s="43" t="s">
        <v>672</v>
      </c>
      <c r="B357" s="117" t="s">
        <v>673</v>
      </c>
      <c r="C357" s="120">
        <v>3.72</v>
      </c>
      <c r="D357" s="1">
        <f t="shared" si="10"/>
        <v>3.5339999999999998</v>
      </c>
    </row>
    <row r="358" spans="1:4" ht="21.75" customHeight="1" x14ac:dyDescent="0.25">
      <c r="A358" s="43" t="s">
        <v>674</v>
      </c>
      <c r="B358" s="117" t="s">
        <v>675</v>
      </c>
      <c r="C358" s="120">
        <v>5.16</v>
      </c>
      <c r="D358" s="1">
        <f t="shared" si="10"/>
        <v>4.9020000000000001</v>
      </c>
    </row>
    <row r="359" spans="1:4" ht="21.75" customHeight="1" x14ac:dyDescent="0.25">
      <c r="A359" s="43" t="s">
        <v>676</v>
      </c>
      <c r="B359" s="117" t="s">
        <v>677</v>
      </c>
      <c r="C359" s="120">
        <v>8</v>
      </c>
      <c r="D359" s="1">
        <f t="shared" si="10"/>
        <v>7.6</v>
      </c>
    </row>
    <row r="360" spans="1:4" ht="21.75" customHeight="1" x14ac:dyDescent="0.25">
      <c r="A360" s="43" t="s">
        <v>678</v>
      </c>
      <c r="B360" s="117" t="s">
        <v>679</v>
      </c>
      <c r="C360" s="120">
        <v>24.43</v>
      </c>
      <c r="D360" s="1">
        <f t="shared" si="10"/>
        <v>23.208499999999997</v>
      </c>
    </row>
    <row r="361" spans="1:4" ht="21.75" customHeight="1" x14ac:dyDescent="0.25">
      <c r="A361" s="43" t="s">
        <v>680</v>
      </c>
      <c r="B361" s="117" t="s">
        <v>681</v>
      </c>
      <c r="C361" s="120">
        <v>6.25</v>
      </c>
      <c r="D361" s="1">
        <f t="shared" si="10"/>
        <v>5.9375</v>
      </c>
    </row>
    <row r="362" spans="1:4" ht="21.75" customHeight="1" x14ac:dyDescent="0.25">
      <c r="A362" s="43" t="s">
        <v>682</v>
      </c>
      <c r="B362" s="117" t="s">
        <v>683</v>
      </c>
      <c r="C362" s="120">
        <v>13.25</v>
      </c>
      <c r="D362" s="1">
        <f t="shared" ref="D362:D406" si="11">+C362*0.95</f>
        <v>12.587499999999999</v>
      </c>
    </row>
    <row r="363" spans="1:4" ht="21.75" customHeight="1" x14ac:dyDescent="0.25">
      <c r="A363" s="43" t="s">
        <v>684</v>
      </c>
      <c r="B363" s="117" t="s">
        <v>685</v>
      </c>
      <c r="C363" s="120">
        <v>6.02</v>
      </c>
      <c r="D363" s="1">
        <f t="shared" si="11"/>
        <v>5.7189999999999994</v>
      </c>
    </row>
    <row r="364" spans="1:4" ht="21.75" customHeight="1" x14ac:dyDescent="0.25">
      <c r="A364" s="43"/>
      <c r="B364" s="117" t="s">
        <v>686</v>
      </c>
      <c r="C364" s="120">
        <v>0.67200000000000004</v>
      </c>
      <c r="D364" s="1">
        <f t="shared" si="11"/>
        <v>0.63839999999999997</v>
      </c>
    </row>
    <row r="365" spans="1:4" ht="21.75" customHeight="1" x14ac:dyDescent="0.25">
      <c r="A365" s="43" t="s">
        <v>687</v>
      </c>
      <c r="B365" s="117" t="s">
        <v>688</v>
      </c>
      <c r="C365" s="120">
        <v>0.89</v>
      </c>
      <c r="D365" s="1">
        <f t="shared" si="11"/>
        <v>0.84549999999999992</v>
      </c>
    </row>
    <row r="366" spans="1:4" ht="21.75" customHeight="1" x14ac:dyDescent="0.25">
      <c r="A366" s="43" t="s">
        <v>689</v>
      </c>
      <c r="B366" s="117" t="s">
        <v>690</v>
      </c>
      <c r="C366" s="120">
        <v>6.56</v>
      </c>
      <c r="D366" s="1">
        <f t="shared" si="11"/>
        <v>6.2319999999999993</v>
      </c>
    </row>
    <row r="367" spans="1:4" ht="21.75" customHeight="1" x14ac:dyDescent="0.25">
      <c r="A367" s="43" t="s">
        <v>691</v>
      </c>
      <c r="B367" s="117" t="s">
        <v>692</v>
      </c>
      <c r="C367" s="120">
        <v>5.1100000000000003</v>
      </c>
      <c r="D367" s="1">
        <f t="shared" si="11"/>
        <v>4.8544999999999998</v>
      </c>
    </row>
    <row r="368" spans="1:4" ht="21.75" customHeight="1" x14ac:dyDescent="0.25">
      <c r="A368" s="43" t="s">
        <v>693</v>
      </c>
      <c r="B368" s="117" t="s">
        <v>694</v>
      </c>
      <c r="C368" s="120">
        <v>7.61</v>
      </c>
      <c r="D368" s="1">
        <f t="shared" si="11"/>
        <v>7.2294999999999998</v>
      </c>
    </row>
    <row r="369" spans="1:4" ht="21.75" customHeight="1" x14ac:dyDescent="0.25">
      <c r="A369" s="43" t="s">
        <v>695</v>
      </c>
      <c r="B369" s="117" t="s">
        <v>696</v>
      </c>
      <c r="C369" s="120">
        <v>5.52</v>
      </c>
      <c r="D369" s="1">
        <f t="shared" si="11"/>
        <v>5.2439999999999998</v>
      </c>
    </row>
    <row r="370" spans="1:4" ht="21.75" customHeight="1" x14ac:dyDescent="0.25">
      <c r="A370" s="43" t="s">
        <v>697</v>
      </c>
      <c r="B370" s="117" t="s">
        <v>698</v>
      </c>
      <c r="C370" s="120">
        <v>6.69</v>
      </c>
      <c r="D370" s="1">
        <f t="shared" si="11"/>
        <v>6.3555000000000001</v>
      </c>
    </row>
    <row r="371" spans="1:4" ht="21.75" customHeight="1" x14ac:dyDescent="0.25">
      <c r="A371" s="43" t="s">
        <v>699</v>
      </c>
      <c r="B371" s="117" t="s">
        <v>700</v>
      </c>
      <c r="C371" s="120">
        <v>5.22</v>
      </c>
      <c r="D371" s="1">
        <f t="shared" si="11"/>
        <v>4.9589999999999996</v>
      </c>
    </row>
    <row r="372" spans="1:4" ht="21.75" customHeight="1" x14ac:dyDescent="0.25">
      <c r="A372" s="43" t="s">
        <v>701</v>
      </c>
      <c r="B372" s="117" t="s">
        <v>702</v>
      </c>
      <c r="C372" s="120">
        <v>7.14</v>
      </c>
      <c r="D372" s="1">
        <f t="shared" si="11"/>
        <v>6.7829999999999995</v>
      </c>
    </row>
    <row r="373" spans="1:4" ht="21.75" customHeight="1" x14ac:dyDescent="0.25">
      <c r="A373" s="43" t="s">
        <v>703</v>
      </c>
      <c r="B373" s="117" t="s">
        <v>704</v>
      </c>
      <c r="C373" s="120">
        <v>7.9</v>
      </c>
      <c r="D373" s="1">
        <f t="shared" si="11"/>
        <v>7.5049999999999999</v>
      </c>
    </row>
    <row r="374" spans="1:4" ht="21.75" customHeight="1" x14ac:dyDescent="0.25">
      <c r="A374" s="43"/>
      <c r="B374" s="117" t="s">
        <v>705</v>
      </c>
      <c r="C374" s="120">
        <v>8.7100000000000009</v>
      </c>
      <c r="D374" s="1">
        <f t="shared" si="11"/>
        <v>8.2744999999999997</v>
      </c>
    </row>
    <row r="375" spans="1:4" ht="21.75" customHeight="1" x14ac:dyDescent="0.25">
      <c r="A375" s="43" t="s">
        <v>706</v>
      </c>
      <c r="B375" s="117" t="s">
        <v>707</v>
      </c>
      <c r="C375" s="120">
        <v>6.91</v>
      </c>
      <c r="D375" s="1">
        <f t="shared" si="11"/>
        <v>6.5644999999999998</v>
      </c>
    </row>
    <row r="376" spans="1:4" ht="21.75" customHeight="1" x14ac:dyDescent="0.25">
      <c r="A376" s="43" t="s">
        <v>708</v>
      </c>
      <c r="B376" s="117" t="s">
        <v>709</v>
      </c>
      <c r="C376" s="120">
        <v>7.19</v>
      </c>
      <c r="D376" s="1">
        <f t="shared" si="11"/>
        <v>6.8304999999999998</v>
      </c>
    </row>
    <row r="377" spans="1:4" ht="21.75" customHeight="1" x14ac:dyDescent="0.25">
      <c r="A377" s="43"/>
      <c r="B377" s="117" t="s">
        <v>710</v>
      </c>
      <c r="C377" s="120">
        <v>9.17</v>
      </c>
      <c r="D377" s="1">
        <f t="shared" si="11"/>
        <v>8.7114999999999991</v>
      </c>
    </row>
    <row r="378" spans="1:4" ht="21.75" customHeight="1" x14ac:dyDescent="0.25">
      <c r="A378" s="43" t="s">
        <v>711</v>
      </c>
      <c r="B378" s="117" t="s">
        <v>712</v>
      </c>
      <c r="C378" s="120">
        <v>4.71</v>
      </c>
      <c r="D378" s="1">
        <f t="shared" si="11"/>
        <v>4.4744999999999999</v>
      </c>
    </row>
    <row r="379" spans="1:4" ht="21.75" customHeight="1" x14ac:dyDescent="0.25">
      <c r="A379" s="43" t="s">
        <v>713</v>
      </c>
      <c r="B379" s="117" t="s">
        <v>714</v>
      </c>
      <c r="C379" s="120">
        <v>5.57</v>
      </c>
      <c r="D379" s="1">
        <f t="shared" si="11"/>
        <v>5.2915000000000001</v>
      </c>
    </row>
    <row r="380" spans="1:4" ht="21.75" customHeight="1" x14ac:dyDescent="0.25">
      <c r="A380" s="43" t="s">
        <v>715</v>
      </c>
      <c r="B380" s="117" t="s">
        <v>716</v>
      </c>
      <c r="C380" s="120">
        <v>4.8499999999999996</v>
      </c>
      <c r="D380" s="1">
        <f t="shared" si="11"/>
        <v>4.607499999999999</v>
      </c>
    </row>
    <row r="381" spans="1:4" ht="21.75" customHeight="1" x14ac:dyDescent="0.25">
      <c r="A381" s="43"/>
      <c r="B381" s="117" t="s">
        <v>717</v>
      </c>
      <c r="C381" s="120">
        <v>3.72</v>
      </c>
      <c r="D381" s="1">
        <f t="shared" si="11"/>
        <v>3.5339999999999998</v>
      </c>
    </row>
    <row r="382" spans="1:4" ht="21.75" customHeight="1" x14ac:dyDescent="0.25">
      <c r="A382" s="43" t="s">
        <v>718</v>
      </c>
      <c r="B382" s="117" t="s">
        <v>719</v>
      </c>
      <c r="C382" s="120">
        <v>4.95</v>
      </c>
      <c r="D382" s="1">
        <f t="shared" si="11"/>
        <v>4.7024999999999997</v>
      </c>
    </row>
    <row r="383" spans="1:4" ht="21.75" customHeight="1" x14ac:dyDescent="0.25">
      <c r="A383" s="43" t="s">
        <v>720</v>
      </c>
      <c r="B383" s="117" t="s">
        <v>721</v>
      </c>
      <c r="C383" s="120">
        <v>3.25</v>
      </c>
      <c r="D383" s="1">
        <f t="shared" si="11"/>
        <v>3.0874999999999999</v>
      </c>
    </row>
    <row r="384" spans="1:4" ht="21.75" customHeight="1" x14ac:dyDescent="0.25">
      <c r="A384" s="43" t="s">
        <v>722</v>
      </c>
      <c r="B384" s="117" t="s">
        <v>723</v>
      </c>
      <c r="C384" s="120">
        <v>17.75</v>
      </c>
      <c r="D384" s="1">
        <f t="shared" si="11"/>
        <v>16.862500000000001</v>
      </c>
    </row>
    <row r="385" spans="1:4" ht="21.75" customHeight="1" x14ac:dyDescent="0.25">
      <c r="A385" s="43" t="s">
        <v>724</v>
      </c>
      <c r="B385" s="117" t="s">
        <v>725</v>
      </c>
      <c r="C385" s="120">
        <v>1.18</v>
      </c>
      <c r="D385" s="1">
        <f t="shared" si="11"/>
        <v>1.121</v>
      </c>
    </row>
    <row r="386" spans="1:4" ht="21.75" customHeight="1" x14ac:dyDescent="0.25">
      <c r="A386" s="43" t="s">
        <v>726</v>
      </c>
      <c r="B386" s="117" t="s">
        <v>727</v>
      </c>
      <c r="C386" s="120">
        <v>0.81</v>
      </c>
      <c r="D386" s="1">
        <f t="shared" si="11"/>
        <v>0.76949999999999996</v>
      </c>
    </row>
    <row r="387" spans="1:4" ht="21.75" customHeight="1" x14ac:dyDescent="0.25">
      <c r="A387" s="43" t="s">
        <v>728</v>
      </c>
      <c r="B387" s="117" t="s">
        <v>729</v>
      </c>
      <c r="C387" s="120">
        <v>3.62</v>
      </c>
      <c r="D387" s="1">
        <f t="shared" si="11"/>
        <v>3.4390000000000001</v>
      </c>
    </row>
    <row r="388" spans="1:4" ht="21.75" customHeight="1" x14ac:dyDescent="0.25">
      <c r="A388" s="43" t="s">
        <v>730</v>
      </c>
      <c r="B388" s="117" t="s">
        <v>731</v>
      </c>
      <c r="C388" s="120">
        <v>3.43</v>
      </c>
      <c r="D388" s="1">
        <f t="shared" si="11"/>
        <v>3.2585000000000002</v>
      </c>
    </row>
    <row r="389" spans="1:4" ht="21.75" customHeight="1" x14ac:dyDescent="0.25">
      <c r="A389" s="43" t="s">
        <v>732</v>
      </c>
      <c r="B389" s="117" t="s">
        <v>733</v>
      </c>
      <c r="C389" s="120">
        <v>2.42</v>
      </c>
      <c r="D389" s="1">
        <f t="shared" si="11"/>
        <v>2.2989999999999999</v>
      </c>
    </row>
    <row r="390" spans="1:4" ht="21.75" customHeight="1" x14ac:dyDescent="0.25">
      <c r="A390" s="43"/>
      <c r="B390" s="117" t="s">
        <v>734</v>
      </c>
      <c r="C390" s="120">
        <v>3.1</v>
      </c>
      <c r="D390" s="1">
        <f t="shared" si="11"/>
        <v>2.9449999999999998</v>
      </c>
    </row>
    <row r="391" spans="1:4" ht="21.75" customHeight="1" x14ac:dyDescent="0.25">
      <c r="A391" s="43" t="s">
        <v>735</v>
      </c>
      <c r="B391" s="117" t="s">
        <v>736</v>
      </c>
      <c r="C391" s="120">
        <v>7.75</v>
      </c>
      <c r="D391" s="1">
        <f t="shared" si="11"/>
        <v>7.3624999999999998</v>
      </c>
    </row>
    <row r="392" spans="1:4" ht="21.75" customHeight="1" x14ac:dyDescent="0.25">
      <c r="A392" s="43" t="s">
        <v>737</v>
      </c>
      <c r="B392" s="117" t="s">
        <v>738</v>
      </c>
      <c r="C392" s="120">
        <v>1.46</v>
      </c>
      <c r="D392" s="1">
        <f t="shared" si="11"/>
        <v>1.387</v>
      </c>
    </row>
    <row r="393" spans="1:4" ht="21.75" customHeight="1" x14ac:dyDescent="0.25">
      <c r="A393" s="43" t="s">
        <v>739</v>
      </c>
      <c r="B393" s="117" t="s">
        <v>740</v>
      </c>
      <c r="C393" s="120">
        <v>4.5</v>
      </c>
      <c r="D393" s="1">
        <f t="shared" si="11"/>
        <v>4.2749999999999995</v>
      </c>
    </row>
    <row r="394" spans="1:4" ht="21.75" customHeight="1" x14ac:dyDescent="0.25">
      <c r="A394" s="43" t="s">
        <v>741</v>
      </c>
      <c r="B394" s="117" t="s">
        <v>742</v>
      </c>
      <c r="C394" s="120">
        <v>9</v>
      </c>
      <c r="D394" s="1">
        <f t="shared" si="11"/>
        <v>8.5499999999999989</v>
      </c>
    </row>
    <row r="395" spans="1:4" ht="21.75" customHeight="1" x14ac:dyDescent="0.25">
      <c r="A395" s="43" t="s">
        <v>743</v>
      </c>
      <c r="B395" s="117" t="s">
        <v>744</v>
      </c>
      <c r="C395" s="120">
        <v>0.05</v>
      </c>
      <c r="D395" s="1">
        <f t="shared" si="11"/>
        <v>4.7500000000000001E-2</v>
      </c>
    </row>
    <row r="396" spans="1:4" ht="21.75" customHeight="1" x14ac:dyDescent="0.25">
      <c r="A396" s="43" t="s">
        <v>745</v>
      </c>
      <c r="B396" s="117" t="s">
        <v>746</v>
      </c>
      <c r="C396" s="120">
        <v>0.06</v>
      </c>
      <c r="D396" s="1">
        <f t="shared" si="11"/>
        <v>5.6999999999999995E-2</v>
      </c>
    </row>
    <row r="397" spans="1:4" ht="21.75" customHeight="1" x14ac:dyDescent="0.25">
      <c r="A397" s="43" t="s">
        <v>747</v>
      </c>
      <c r="B397" s="117" t="s">
        <v>748</v>
      </c>
      <c r="C397" s="120">
        <v>0.05</v>
      </c>
      <c r="D397" s="1">
        <f t="shared" si="11"/>
        <v>4.7500000000000001E-2</v>
      </c>
    </row>
    <row r="398" spans="1:4" ht="21.75" customHeight="1" x14ac:dyDescent="0.25">
      <c r="A398" s="43" t="s">
        <v>749</v>
      </c>
      <c r="B398" s="117" t="s">
        <v>750</v>
      </c>
      <c r="C398" s="120">
        <v>3.8199999999999998E-2</v>
      </c>
      <c r="D398" s="1">
        <f t="shared" si="11"/>
        <v>3.6289999999999996E-2</v>
      </c>
    </row>
    <row r="399" spans="1:4" ht="21.75" customHeight="1" x14ac:dyDescent="0.25">
      <c r="A399" s="43" t="s">
        <v>751</v>
      </c>
      <c r="B399" s="117" t="s">
        <v>752</v>
      </c>
      <c r="C399" s="120">
        <v>4.65E-2</v>
      </c>
      <c r="D399" s="1">
        <f t="shared" si="11"/>
        <v>4.4174999999999999E-2</v>
      </c>
    </row>
    <row r="400" spans="1:4" ht="21.75" customHeight="1" x14ac:dyDescent="0.25">
      <c r="A400" s="43" t="s">
        <v>753</v>
      </c>
      <c r="B400" s="117" t="s">
        <v>754</v>
      </c>
      <c r="C400" s="120">
        <v>11.96</v>
      </c>
      <c r="D400" s="1">
        <f t="shared" si="11"/>
        <v>11.362</v>
      </c>
    </row>
    <row r="401" spans="1:4" ht="21.75" customHeight="1" x14ac:dyDescent="0.25">
      <c r="A401" s="43" t="s">
        <v>755</v>
      </c>
      <c r="B401" s="117" t="s">
        <v>756</v>
      </c>
      <c r="C401" s="120">
        <v>6.24</v>
      </c>
      <c r="D401" s="1">
        <f t="shared" si="11"/>
        <v>5.9279999999999999</v>
      </c>
    </row>
    <row r="402" spans="1:4" ht="21.75" customHeight="1" x14ac:dyDescent="0.25">
      <c r="A402" s="43" t="s">
        <v>757</v>
      </c>
      <c r="B402" s="117" t="s">
        <v>758</v>
      </c>
      <c r="C402" s="120">
        <v>7.55</v>
      </c>
      <c r="D402" s="1">
        <f t="shared" si="11"/>
        <v>7.1724999999999994</v>
      </c>
    </row>
    <row r="403" spans="1:4" ht="21.75" customHeight="1" x14ac:dyDescent="0.25">
      <c r="A403" s="43" t="s">
        <v>759</v>
      </c>
      <c r="B403" s="117" t="s">
        <v>760</v>
      </c>
      <c r="C403" s="120">
        <v>1.2909999999999999</v>
      </c>
      <c r="D403" s="1">
        <f t="shared" si="11"/>
        <v>1.2264499999999998</v>
      </c>
    </row>
    <row r="404" spans="1:4" ht="21.75" customHeight="1" x14ac:dyDescent="0.25">
      <c r="A404" s="43"/>
      <c r="B404" s="117" t="s">
        <v>761</v>
      </c>
      <c r="C404" s="120">
        <f>+OUTILS!A62</f>
        <v>0</v>
      </c>
      <c r="D404" s="1">
        <f t="shared" si="11"/>
        <v>0</v>
      </c>
    </row>
    <row r="405" spans="1:4" ht="21.75" customHeight="1" x14ac:dyDescent="0.25">
      <c r="B405" s="2" t="s">
        <v>762</v>
      </c>
      <c r="C405" s="165">
        <v>11.05</v>
      </c>
      <c r="D405" s="1">
        <f t="shared" si="11"/>
        <v>10.4975</v>
      </c>
    </row>
    <row r="406" spans="1:4" ht="21.75" customHeight="1" x14ac:dyDescent="0.25">
      <c r="A406" s="43" t="s">
        <v>763</v>
      </c>
      <c r="B406" s="117" t="s">
        <v>764</v>
      </c>
      <c r="C406" s="120">
        <v>0.14000000000000001</v>
      </c>
      <c r="D406" s="1">
        <f t="shared" si="11"/>
        <v>0.13300000000000001</v>
      </c>
    </row>
    <row r="407" spans="1:4" ht="21.75" customHeight="1" x14ac:dyDescent="0.25">
      <c r="A407" s="43"/>
      <c r="B407" s="117" t="s">
        <v>765</v>
      </c>
      <c r="C407" s="120"/>
    </row>
    <row r="408" spans="1:4" ht="21.75" customHeight="1" x14ac:dyDescent="0.25">
      <c r="A408" s="43" t="s">
        <v>766</v>
      </c>
      <c r="B408" s="117" t="s">
        <v>767</v>
      </c>
      <c r="C408" s="120">
        <v>0.09</v>
      </c>
      <c r="D408" s="1">
        <f>+C408*0.95</f>
        <v>8.5499999999999993E-2</v>
      </c>
    </row>
    <row r="409" spans="1:4" ht="21.75" customHeight="1" x14ac:dyDescent="0.25">
      <c r="A409" s="43" t="s">
        <v>768</v>
      </c>
      <c r="B409" s="117" t="s">
        <v>769</v>
      </c>
      <c r="C409" s="120">
        <v>0.11</v>
      </c>
      <c r="D409" s="1">
        <f t="shared" ref="D409:D472" si="12">+C409*0.95</f>
        <v>0.1045</v>
      </c>
    </row>
    <row r="410" spans="1:4" ht="21.75" customHeight="1" x14ac:dyDescent="0.25">
      <c r="A410" s="43" t="s">
        <v>770</v>
      </c>
      <c r="B410" s="117" t="s">
        <v>771</v>
      </c>
      <c r="C410" s="120">
        <v>6.4</v>
      </c>
      <c r="D410" s="1">
        <f t="shared" si="12"/>
        <v>6.08</v>
      </c>
    </row>
    <row r="411" spans="1:4" ht="21.75" customHeight="1" x14ac:dyDescent="0.25">
      <c r="A411" s="43" t="s">
        <v>772</v>
      </c>
      <c r="B411" s="117" t="s">
        <v>773</v>
      </c>
      <c r="C411" s="120">
        <v>5.8</v>
      </c>
      <c r="D411" s="1">
        <f t="shared" si="12"/>
        <v>5.51</v>
      </c>
    </row>
    <row r="412" spans="1:4" ht="21.75" customHeight="1" x14ac:dyDescent="0.25">
      <c r="A412" s="43" t="s">
        <v>774</v>
      </c>
      <c r="B412" s="117" t="s">
        <v>775</v>
      </c>
      <c r="C412" s="120">
        <v>4.5419999999999998</v>
      </c>
      <c r="D412" s="1">
        <f t="shared" si="12"/>
        <v>4.3148999999999997</v>
      </c>
    </row>
    <row r="413" spans="1:4" ht="21.75" customHeight="1" x14ac:dyDescent="0.25">
      <c r="A413" s="43" t="s">
        <v>776</v>
      </c>
      <c r="B413" s="117" t="s">
        <v>777</v>
      </c>
      <c r="C413" s="120">
        <v>4.5199999999999996</v>
      </c>
      <c r="D413" s="1">
        <f t="shared" si="12"/>
        <v>4.2939999999999996</v>
      </c>
    </row>
    <row r="414" spans="1:4" ht="21.75" customHeight="1" x14ac:dyDescent="0.25">
      <c r="A414" s="43" t="s">
        <v>778</v>
      </c>
      <c r="B414" s="117" t="s">
        <v>779</v>
      </c>
      <c r="C414" s="120">
        <v>0.03</v>
      </c>
      <c r="D414" s="1">
        <f t="shared" si="12"/>
        <v>2.8499999999999998E-2</v>
      </c>
    </row>
    <row r="415" spans="1:4" ht="21.75" customHeight="1" x14ac:dyDescent="0.25">
      <c r="A415" s="43" t="s">
        <v>780</v>
      </c>
      <c r="B415" s="117" t="s">
        <v>781</v>
      </c>
      <c r="C415" s="120">
        <v>0.1</v>
      </c>
      <c r="D415" s="1">
        <f t="shared" si="12"/>
        <v>9.5000000000000001E-2</v>
      </c>
    </row>
    <row r="416" spans="1:4" ht="21.75" customHeight="1" x14ac:dyDescent="0.25">
      <c r="A416" s="43" t="s">
        <v>782</v>
      </c>
      <c r="B416" s="117" t="s">
        <v>783</v>
      </c>
      <c r="C416" s="120">
        <v>0.11</v>
      </c>
      <c r="D416" s="1">
        <f t="shared" si="12"/>
        <v>0.1045</v>
      </c>
    </row>
    <row r="417" spans="1:4" ht="21.75" customHeight="1" x14ac:dyDescent="0.25">
      <c r="A417" s="43" t="s">
        <v>784</v>
      </c>
      <c r="B417" s="117" t="s">
        <v>785</v>
      </c>
      <c r="C417" s="120">
        <v>0.01</v>
      </c>
      <c r="D417" s="1">
        <f t="shared" si="12"/>
        <v>9.4999999999999998E-3</v>
      </c>
    </row>
    <row r="418" spans="1:4" ht="21.75" customHeight="1" x14ac:dyDescent="0.25">
      <c r="A418" s="43" t="s">
        <v>786</v>
      </c>
      <c r="B418" s="117" t="s">
        <v>787</v>
      </c>
      <c r="C418" s="120">
        <v>0.01</v>
      </c>
      <c r="D418" s="1">
        <f t="shared" si="12"/>
        <v>9.4999999999999998E-3</v>
      </c>
    </row>
    <row r="419" spans="1:4" ht="21.75" customHeight="1" x14ac:dyDescent="0.25">
      <c r="A419" s="43" t="s">
        <v>788</v>
      </c>
      <c r="B419" s="117" t="s">
        <v>789</v>
      </c>
      <c r="C419" s="120">
        <v>0.01</v>
      </c>
      <c r="D419" s="1">
        <f t="shared" si="12"/>
        <v>9.4999999999999998E-3</v>
      </c>
    </row>
    <row r="420" spans="1:4" ht="21.75" customHeight="1" x14ac:dyDescent="0.25">
      <c r="A420" s="43" t="s">
        <v>790</v>
      </c>
      <c r="B420" s="117" t="s">
        <v>791</v>
      </c>
      <c r="C420" s="120">
        <v>0.05</v>
      </c>
      <c r="D420" s="1">
        <f t="shared" si="12"/>
        <v>4.7500000000000001E-2</v>
      </c>
    </row>
    <row r="421" spans="1:4" ht="21.75" customHeight="1" x14ac:dyDescent="0.25">
      <c r="A421" s="43" t="s">
        <v>792</v>
      </c>
      <c r="B421" s="117" t="s">
        <v>793</v>
      </c>
      <c r="C421" s="120">
        <v>5</v>
      </c>
      <c r="D421" s="1">
        <f t="shared" si="12"/>
        <v>4.75</v>
      </c>
    </row>
    <row r="422" spans="1:4" ht="21.75" customHeight="1" x14ac:dyDescent="0.25">
      <c r="A422" s="43" t="s">
        <v>794</v>
      </c>
      <c r="B422" s="117" t="s">
        <v>795</v>
      </c>
      <c r="C422" s="120">
        <v>15.39</v>
      </c>
      <c r="D422" s="1">
        <f t="shared" si="12"/>
        <v>14.6205</v>
      </c>
    </row>
    <row r="423" spans="1:4" ht="21.75" customHeight="1" x14ac:dyDescent="0.25">
      <c r="A423" s="43" t="s">
        <v>796</v>
      </c>
      <c r="B423" s="117" t="s">
        <v>797</v>
      </c>
      <c r="C423" s="120">
        <v>4.95</v>
      </c>
      <c r="D423" s="1">
        <f t="shared" si="12"/>
        <v>4.7024999999999997</v>
      </c>
    </row>
    <row r="424" spans="1:4" ht="21.75" customHeight="1" x14ac:dyDescent="0.25">
      <c r="A424" s="43" t="s">
        <v>798</v>
      </c>
      <c r="B424" s="117" t="s">
        <v>799</v>
      </c>
      <c r="C424" s="120">
        <v>1.88</v>
      </c>
      <c r="D424" s="1">
        <f t="shared" si="12"/>
        <v>1.7859999999999998</v>
      </c>
    </row>
    <row r="425" spans="1:4" ht="21.75" customHeight="1" x14ac:dyDescent="0.25">
      <c r="A425" s="43" t="s">
        <v>800</v>
      </c>
      <c r="B425" s="117" t="s">
        <v>801</v>
      </c>
      <c r="C425" s="120">
        <v>1.95</v>
      </c>
      <c r="D425" s="1">
        <f t="shared" si="12"/>
        <v>1.8524999999999998</v>
      </c>
    </row>
    <row r="426" spans="1:4" ht="21.75" customHeight="1" x14ac:dyDescent="0.25">
      <c r="A426" s="43" t="s">
        <v>802</v>
      </c>
      <c r="B426" s="117" t="s">
        <v>803</v>
      </c>
      <c r="C426" s="120">
        <v>2.2000000000000002</v>
      </c>
      <c r="D426" s="1">
        <f t="shared" si="12"/>
        <v>2.09</v>
      </c>
    </row>
    <row r="427" spans="1:4" ht="21.75" customHeight="1" x14ac:dyDescent="0.25">
      <c r="A427" s="43" t="s">
        <v>804</v>
      </c>
      <c r="B427" s="117" t="s">
        <v>805</v>
      </c>
      <c r="C427" s="120">
        <v>0.44</v>
      </c>
      <c r="D427" s="1">
        <f t="shared" si="12"/>
        <v>0.41799999999999998</v>
      </c>
    </row>
    <row r="428" spans="1:4" ht="21.75" customHeight="1" x14ac:dyDescent="0.25">
      <c r="A428" s="43"/>
      <c r="B428" s="117" t="s">
        <v>806</v>
      </c>
      <c r="C428" s="120">
        <v>4.38</v>
      </c>
      <c r="D428" s="1">
        <f t="shared" si="12"/>
        <v>4.1609999999999996</v>
      </c>
    </row>
    <row r="429" spans="1:4" ht="21.75" customHeight="1" x14ac:dyDescent="0.25">
      <c r="A429" s="43" t="s">
        <v>807</v>
      </c>
      <c r="B429" s="117" t="s">
        <v>808</v>
      </c>
      <c r="C429" s="120">
        <v>2.69</v>
      </c>
      <c r="D429" s="1">
        <f t="shared" si="12"/>
        <v>2.5554999999999999</v>
      </c>
    </row>
    <row r="430" spans="1:4" ht="21.75" customHeight="1" x14ac:dyDescent="0.25">
      <c r="A430" s="43" t="s">
        <v>809</v>
      </c>
      <c r="B430" s="117" t="s">
        <v>810</v>
      </c>
      <c r="C430" s="120">
        <v>3.1</v>
      </c>
      <c r="D430" s="1">
        <f t="shared" si="12"/>
        <v>2.9449999999999998</v>
      </c>
    </row>
    <row r="431" spans="1:4" ht="21.75" customHeight="1" x14ac:dyDescent="0.25">
      <c r="A431" s="43"/>
      <c r="B431" s="117" t="s">
        <v>811</v>
      </c>
      <c r="C431" s="120">
        <v>3.69</v>
      </c>
      <c r="D431" s="1">
        <f t="shared" si="12"/>
        <v>3.5054999999999996</v>
      </c>
    </row>
    <row r="432" spans="1:4" ht="21.75" customHeight="1" x14ac:dyDescent="0.25">
      <c r="A432" s="43" t="s">
        <v>812</v>
      </c>
      <c r="B432" s="117" t="s">
        <v>813</v>
      </c>
      <c r="C432" s="120">
        <v>3.03</v>
      </c>
      <c r="D432" s="1">
        <f t="shared" si="12"/>
        <v>2.8784999999999998</v>
      </c>
    </row>
    <row r="433" spans="1:4" ht="21.75" customHeight="1" x14ac:dyDescent="0.25">
      <c r="A433" s="43"/>
      <c r="B433" s="117" t="s">
        <v>814</v>
      </c>
      <c r="C433" s="120">
        <v>5.41</v>
      </c>
      <c r="D433" s="1">
        <f t="shared" si="12"/>
        <v>5.1395</v>
      </c>
    </row>
    <row r="434" spans="1:4" ht="21.75" customHeight="1" x14ac:dyDescent="0.25">
      <c r="A434" s="43" t="s">
        <v>815</v>
      </c>
      <c r="B434" s="117" t="s">
        <v>816</v>
      </c>
      <c r="C434" s="120">
        <v>2.75</v>
      </c>
      <c r="D434" s="1">
        <f t="shared" si="12"/>
        <v>2.6124999999999998</v>
      </c>
    </row>
    <row r="435" spans="1:4" ht="21.75" customHeight="1" x14ac:dyDescent="0.25">
      <c r="A435" s="43"/>
      <c r="B435" s="117" t="s">
        <v>817</v>
      </c>
      <c r="C435" s="120">
        <v>2.8</v>
      </c>
      <c r="D435" s="1">
        <f t="shared" si="12"/>
        <v>2.6599999999999997</v>
      </c>
    </row>
    <row r="436" spans="1:4" ht="21.75" customHeight="1" x14ac:dyDescent="0.25">
      <c r="A436" s="43" t="s">
        <v>818</v>
      </c>
      <c r="B436" s="117" t="s">
        <v>819</v>
      </c>
      <c r="C436" s="120">
        <v>3.94</v>
      </c>
      <c r="D436" s="1">
        <f t="shared" si="12"/>
        <v>3.7429999999999999</v>
      </c>
    </row>
    <row r="437" spans="1:4" ht="21.75" customHeight="1" x14ac:dyDescent="0.25">
      <c r="A437" s="43" t="s">
        <v>563</v>
      </c>
      <c r="B437" s="117" t="s">
        <v>820</v>
      </c>
      <c r="C437" s="120">
        <v>3.26</v>
      </c>
      <c r="D437" s="1">
        <f t="shared" si="12"/>
        <v>3.0969999999999995</v>
      </c>
    </row>
    <row r="438" spans="1:4" ht="21.75" customHeight="1" x14ac:dyDescent="0.25">
      <c r="A438" s="43" t="s">
        <v>821</v>
      </c>
      <c r="B438" s="117" t="s">
        <v>822</v>
      </c>
      <c r="C438" s="120">
        <v>12.5</v>
      </c>
      <c r="D438" s="1">
        <f t="shared" si="12"/>
        <v>11.875</v>
      </c>
    </row>
    <row r="439" spans="1:4" ht="21.75" customHeight="1" x14ac:dyDescent="0.25">
      <c r="A439" s="43" t="s">
        <v>823</v>
      </c>
      <c r="B439" s="117" t="s">
        <v>824</v>
      </c>
      <c r="C439" s="120">
        <v>38.32</v>
      </c>
      <c r="D439" s="1">
        <f t="shared" si="12"/>
        <v>36.403999999999996</v>
      </c>
    </row>
    <row r="440" spans="1:4" ht="21.75" customHeight="1" x14ac:dyDescent="0.25">
      <c r="A440" s="43"/>
      <c r="B440" s="117" t="s">
        <v>825</v>
      </c>
      <c r="C440" s="120">
        <v>0.61499999999999999</v>
      </c>
      <c r="D440" s="1">
        <f t="shared" si="12"/>
        <v>0.58424999999999994</v>
      </c>
    </row>
    <row r="441" spans="1:4" ht="21.75" customHeight="1" x14ac:dyDescent="0.25">
      <c r="A441" s="43" t="s">
        <v>826</v>
      </c>
      <c r="B441" s="117" t="s">
        <v>827</v>
      </c>
      <c r="C441" s="120">
        <v>1</v>
      </c>
      <c r="D441" s="1">
        <f t="shared" si="12"/>
        <v>0.95</v>
      </c>
    </row>
    <row r="442" spans="1:4" ht="21.75" customHeight="1" x14ac:dyDescent="0.25">
      <c r="A442" s="43" t="s">
        <v>828</v>
      </c>
      <c r="B442" s="117" t="s">
        <v>829</v>
      </c>
      <c r="C442" s="120">
        <v>1.23</v>
      </c>
      <c r="D442" s="1">
        <f t="shared" si="12"/>
        <v>1.1684999999999999</v>
      </c>
    </row>
    <row r="443" spans="1:4" ht="21.75" customHeight="1" x14ac:dyDescent="0.25">
      <c r="A443" s="43" t="s">
        <v>830</v>
      </c>
      <c r="B443" s="117" t="s">
        <v>831</v>
      </c>
      <c r="C443" s="120">
        <v>0.27</v>
      </c>
      <c r="D443" s="1">
        <f t="shared" si="12"/>
        <v>0.25650000000000001</v>
      </c>
    </row>
    <row r="444" spans="1:4" ht="21.75" customHeight="1" x14ac:dyDescent="0.25">
      <c r="A444" s="43" t="s">
        <v>832</v>
      </c>
      <c r="B444" s="117" t="s">
        <v>833</v>
      </c>
      <c r="C444" s="120">
        <v>0.85</v>
      </c>
      <c r="D444" s="1">
        <f t="shared" si="12"/>
        <v>0.8075</v>
      </c>
    </row>
    <row r="445" spans="1:4" ht="21.75" customHeight="1" x14ac:dyDescent="0.25">
      <c r="A445" s="43" t="s">
        <v>834</v>
      </c>
      <c r="B445" s="117" t="s">
        <v>835</v>
      </c>
      <c r="C445" s="120">
        <v>3.46</v>
      </c>
      <c r="D445" s="1">
        <f t="shared" si="12"/>
        <v>3.2869999999999999</v>
      </c>
    </row>
    <row r="446" spans="1:4" ht="21.75" customHeight="1" x14ac:dyDescent="0.25">
      <c r="A446" s="43" t="s">
        <v>836</v>
      </c>
      <c r="B446" s="117" t="s">
        <v>837</v>
      </c>
      <c r="C446" s="120">
        <v>5.31</v>
      </c>
      <c r="D446" s="1">
        <f t="shared" si="12"/>
        <v>5.0444999999999993</v>
      </c>
    </row>
    <row r="447" spans="1:4" ht="21.75" customHeight="1" x14ac:dyDescent="0.25">
      <c r="A447" s="43" t="s">
        <v>838</v>
      </c>
      <c r="B447" s="117" t="s">
        <v>839</v>
      </c>
      <c r="C447" s="120">
        <v>0.44800000000000001</v>
      </c>
      <c r="D447" s="1">
        <f t="shared" si="12"/>
        <v>0.42559999999999998</v>
      </c>
    </row>
    <row r="448" spans="1:4" ht="21.75" customHeight="1" x14ac:dyDescent="0.25">
      <c r="A448" s="43" t="s">
        <v>840</v>
      </c>
      <c r="B448" s="117" t="s">
        <v>841</v>
      </c>
      <c r="C448" s="120">
        <v>0.85</v>
      </c>
      <c r="D448" s="1">
        <f t="shared" si="12"/>
        <v>0.8075</v>
      </c>
    </row>
    <row r="449" spans="1:6" ht="21.75" customHeight="1" x14ac:dyDescent="0.25">
      <c r="A449" s="43" t="s">
        <v>842</v>
      </c>
      <c r="B449" s="117" t="s">
        <v>843</v>
      </c>
      <c r="C449" s="120">
        <v>12.8</v>
      </c>
      <c r="D449" s="1">
        <f t="shared" si="12"/>
        <v>12.16</v>
      </c>
      <c r="F449" t="s">
        <v>844</v>
      </c>
    </row>
    <row r="450" spans="1:6" ht="21.75" customHeight="1" x14ac:dyDescent="0.25">
      <c r="B450" s="117" t="s">
        <v>845</v>
      </c>
      <c r="C450" s="165">
        <v>10.58</v>
      </c>
      <c r="D450" s="1">
        <f t="shared" si="12"/>
        <v>10.051</v>
      </c>
    </row>
    <row r="451" spans="1:6" ht="21.75" customHeight="1" x14ac:dyDescent="0.25">
      <c r="A451" s="43"/>
      <c r="B451" s="117" t="s">
        <v>846</v>
      </c>
      <c r="C451" s="120">
        <v>15.15</v>
      </c>
      <c r="D451" s="1">
        <f t="shared" si="12"/>
        <v>14.3925</v>
      </c>
    </row>
    <row r="452" spans="1:6" ht="21.75" customHeight="1" x14ac:dyDescent="0.25">
      <c r="A452" s="43" t="s">
        <v>847</v>
      </c>
      <c r="B452" s="117" t="s">
        <v>848</v>
      </c>
      <c r="C452" s="120">
        <v>17</v>
      </c>
      <c r="D452" s="1">
        <f t="shared" si="12"/>
        <v>16.149999999999999</v>
      </c>
    </row>
    <row r="453" spans="1:6" ht="21.75" customHeight="1" x14ac:dyDescent="0.25">
      <c r="A453" s="43" t="s">
        <v>849</v>
      </c>
      <c r="B453" s="117" t="s">
        <v>850</v>
      </c>
      <c r="C453" s="120">
        <v>18.12</v>
      </c>
      <c r="D453" s="1">
        <f t="shared" si="12"/>
        <v>17.213999999999999</v>
      </c>
    </row>
    <row r="454" spans="1:6" ht="21.75" customHeight="1" x14ac:dyDescent="0.25">
      <c r="A454" s="43" t="s">
        <v>851</v>
      </c>
      <c r="B454" s="117" t="s">
        <v>852</v>
      </c>
      <c r="C454" s="120">
        <v>1.4670000000000001</v>
      </c>
      <c r="D454" s="1">
        <f t="shared" si="12"/>
        <v>1.3936500000000001</v>
      </c>
    </row>
    <row r="455" spans="1:6" ht="21.75" customHeight="1" x14ac:dyDescent="0.25">
      <c r="A455" s="43" t="s">
        <v>853</v>
      </c>
      <c r="B455" s="117" t="s">
        <v>854</v>
      </c>
      <c r="C455" s="120">
        <v>0.86</v>
      </c>
      <c r="D455" s="1">
        <f t="shared" si="12"/>
        <v>0.81699999999999995</v>
      </c>
    </row>
    <row r="456" spans="1:6" ht="21.75" customHeight="1" x14ac:dyDescent="0.25">
      <c r="A456" s="43"/>
      <c r="B456" s="117" t="s">
        <v>855</v>
      </c>
      <c r="C456" s="120">
        <v>3</v>
      </c>
      <c r="D456" s="1">
        <f t="shared" si="12"/>
        <v>2.8499999999999996</v>
      </c>
    </row>
    <row r="457" spans="1:6" ht="21.75" customHeight="1" x14ac:dyDescent="0.25">
      <c r="A457" s="43" t="s">
        <v>856</v>
      </c>
      <c r="B457" s="117" t="s">
        <v>857</v>
      </c>
      <c r="C457" s="120">
        <v>1.1100000000000001</v>
      </c>
      <c r="D457" s="1">
        <f t="shared" si="12"/>
        <v>1.0545</v>
      </c>
    </row>
    <row r="458" spans="1:6" ht="21.75" customHeight="1" x14ac:dyDescent="0.25">
      <c r="A458" s="43" t="s">
        <v>858</v>
      </c>
      <c r="B458" s="117" t="s">
        <v>859</v>
      </c>
      <c r="C458" s="120">
        <v>1.776</v>
      </c>
      <c r="D458" s="1">
        <f t="shared" si="12"/>
        <v>1.6872</v>
      </c>
    </row>
    <row r="459" spans="1:6" ht="21.75" customHeight="1" x14ac:dyDescent="0.25">
      <c r="A459" s="43" t="s">
        <v>860</v>
      </c>
      <c r="B459" s="117" t="s">
        <v>861</v>
      </c>
      <c r="C459" s="120">
        <v>3.0449999999999999</v>
      </c>
      <c r="D459" s="1">
        <f t="shared" si="12"/>
        <v>2.8927499999999999</v>
      </c>
    </row>
    <row r="460" spans="1:6" ht="21.75" customHeight="1" x14ac:dyDescent="0.25">
      <c r="A460" s="43" t="s">
        <v>862</v>
      </c>
      <c r="B460" s="117" t="s">
        <v>863</v>
      </c>
      <c r="C460" s="120">
        <v>7.2</v>
      </c>
      <c r="D460" s="1">
        <f t="shared" si="12"/>
        <v>6.84</v>
      </c>
      <c r="F460" t="s">
        <v>864</v>
      </c>
    </row>
    <row r="461" spans="1:6" ht="21.75" customHeight="1" x14ac:dyDescent="0.25">
      <c r="A461" s="43" t="s">
        <v>865</v>
      </c>
      <c r="B461" s="117" t="s">
        <v>866</v>
      </c>
      <c r="C461" s="120">
        <v>7.35</v>
      </c>
      <c r="D461" s="1">
        <f t="shared" si="12"/>
        <v>6.982499999999999</v>
      </c>
    </row>
    <row r="462" spans="1:6" ht="21.75" customHeight="1" x14ac:dyDescent="0.25">
      <c r="A462" s="43" t="s">
        <v>867</v>
      </c>
      <c r="B462" s="117" t="s">
        <v>868</v>
      </c>
      <c r="C462" s="120">
        <v>3.88</v>
      </c>
      <c r="D462" s="1">
        <f t="shared" si="12"/>
        <v>3.6859999999999999</v>
      </c>
    </row>
    <row r="463" spans="1:6" ht="21.75" customHeight="1" x14ac:dyDescent="0.25">
      <c r="A463" s="43" t="s">
        <v>869</v>
      </c>
      <c r="B463" s="117" t="s">
        <v>870</v>
      </c>
      <c r="C463" s="120">
        <v>2.25</v>
      </c>
      <c r="D463" s="1">
        <f t="shared" si="12"/>
        <v>2.1374999999999997</v>
      </c>
    </row>
    <row r="464" spans="1:6" ht="21.75" customHeight="1" x14ac:dyDescent="0.25">
      <c r="A464" s="43" t="s">
        <v>871</v>
      </c>
      <c r="B464" s="117" t="s">
        <v>872</v>
      </c>
      <c r="C464" s="120">
        <v>6.99</v>
      </c>
      <c r="D464" s="1">
        <f t="shared" si="12"/>
        <v>6.6405000000000003</v>
      </c>
    </row>
    <row r="465" spans="1:4" ht="21.75" customHeight="1" x14ac:dyDescent="0.25">
      <c r="A465" s="43" t="s">
        <v>873</v>
      </c>
      <c r="B465" s="117" t="s">
        <v>874</v>
      </c>
      <c r="C465" s="120">
        <v>2.1539999999999999</v>
      </c>
      <c r="D465" s="1">
        <f t="shared" si="12"/>
        <v>2.0463</v>
      </c>
    </row>
    <row r="466" spans="1:4" ht="21.75" customHeight="1" x14ac:dyDescent="0.25">
      <c r="A466" s="43" t="s">
        <v>875</v>
      </c>
      <c r="B466" s="117" t="s">
        <v>876</v>
      </c>
      <c r="C466" s="120">
        <v>2.65</v>
      </c>
      <c r="D466" s="1">
        <f t="shared" si="12"/>
        <v>2.5174999999999996</v>
      </c>
    </row>
    <row r="467" spans="1:4" ht="21.75" customHeight="1" x14ac:dyDescent="0.25">
      <c r="A467" s="43" t="s">
        <v>877</v>
      </c>
      <c r="B467" s="117" t="s">
        <v>878</v>
      </c>
      <c r="C467" s="120">
        <v>2.65</v>
      </c>
      <c r="D467" s="1">
        <f t="shared" si="12"/>
        <v>2.5174999999999996</v>
      </c>
    </row>
    <row r="468" spans="1:4" ht="21.75" customHeight="1" x14ac:dyDescent="0.25">
      <c r="A468" s="43" t="s">
        <v>879</v>
      </c>
      <c r="B468" s="117" t="s">
        <v>880</v>
      </c>
      <c r="C468" s="120">
        <v>2.25</v>
      </c>
      <c r="D468" s="1">
        <f t="shared" si="12"/>
        <v>2.1374999999999997</v>
      </c>
    </row>
    <row r="469" spans="1:4" ht="21.75" customHeight="1" x14ac:dyDescent="0.25">
      <c r="A469" s="43" t="s">
        <v>881</v>
      </c>
      <c r="B469" s="117" t="s">
        <v>882</v>
      </c>
      <c r="C469" s="120">
        <v>7.5</v>
      </c>
      <c r="D469" s="1">
        <f t="shared" si="12"/>
        <v>7.125</v>
      </c>
    </row>
    <row r="470" spans="1:4" ht="21.75" customHeight="1" x14ac:dyDescent="0.25">
      <c r="A470" s="43" t="s">
        <v>317</v>
      </c>
      <c r="B470" s="117" t="s">
        <v>883</v>
      </c>
      <c r="C470" s="120">
        <v>4.49</v>
      </c>
      <c r="D470" s="1">
        <f t="shared" si="12"/>
        <v>4.2655000000000003</v>
      </c>
    </row>
    <row r="471" spans="1:4" ht="21.75" customHeight="1" x14ac:dyDescent="0.25">
      <c r="A471" s="43" t="s">
        <v>884</v>
      </c>
      <c r="B471" s="117" t="s">
        <v>885</v>
      </c>
      <c r="C471" s="120">
        <v>3.83</v>
      </c>
      <c r="D471" s="1">
        <f t="shared" si="12"/>
        <v>3.6385000000000001</v>
      </c>
    </row>
    <row r="472" spans="1:4" ht="21.75" customHeight="1" x14ac:dyDescent="0.25">
      <c r="A472" s="43" t="s">
        <v>886</v>
      </c>
      <c r="B472" s="117" t="s">
        <v>887</v>
      </c>
      <c r="C472" s="120">
        <v>10.79</v>
      </c>
      <c r="D472" s="1">
        <f t="shared" si="12"/>
        <v>10.250499999999999</v>
      </c>
    </row>
    <row r="473" spans="1:4" ht="21.75" customHeight="1" x14ac:dyDescent="0.25">
      <c r="A473" s="43" t="s">
        <v>888</v>
      </c>
      <c r="B473" s="117" t="s">
        <v>889</v>
      </c>
      <c r="C473" s="120">
        <v>1.74</v>
      </c>
      <c r="D473" s="1">
        <f t="shared" ref="D473:D482" si="13">+C473*0.95</f>
        <v>1.653</v>
      </c>
    </row>
    <row r="474" spans="1:4" ht="21.75" customHeight="1" x14ac:dyDescent="0.25">
      <c r="A474" s="43" t="s">
        <v>890</v>
      </c>
      <c r="B474" s="117" t="s">
        <v>891</v>
      </c>
      <c r="C474" s="120">
        <v>0.503</v>
      </c>
      <c r="D474" s="1">
        <f t="shared" si="13"/>
        <v>0.47785</v>
      </c>
    </row>
    <row r="475" spans="1:4" ht="21.75" customHeight="1" x14ac:dyDescent="0.25">
      <c r="A475" s="43" t="s">
        <v>892</v>
      </c>
      <c r="B475" s="117" t="s">
        <v>893</v>
      </c>
      <c r="C475" s="120">
        <v>164.17</v>
      </c>
      <c r="D475" s="1">
        <f t="shared" si="13"/>
        <v>155.96149999999997</v>
      </c>
    </row>
    <row r="476" spans="1:4" ht="21.75" customHeight="1" x14ac:dyDescent="0.25">
      <c r="A476" s="43"/>
      <c r="B476" s="117" t="s">
        <v>894</v>
      </c>
      <c r="C476" s="120">
        <v>9.6</v>
      </c>
      <c r="D476" s="1">
        <f t="shared" si="13"/>
        <v>9.1199999999999992</v>
      </c>
    </row>
    <row r="477" spans="1:4" ht="21.75" customHeight="1" x14ac:dyDescent="0.25">
      <c r="A477" s="43" t="s">
        <v>895</v>
      </c>
      <c r="B477" s="117" t="s">
        <v>896</v>
      </c>
      <c r="C477" s="120">
        <v>0.69</v>
      </c>
      <c r="D477" s="1">
        <f t="shared" si="13"/>
        <v>0.65549999999999997</v>
      </c>
    </row>
    <row r="478" spans="1:4" ht="21.75" customHeight="1" x14ac:dyDescent="0.25">
      <c r="A478" s="43" t="s">
        <v>897</v>
      </c>
      <c r="B478" s="117" t="s">
        <v>898</v>
      </c>
      <c r="C478" s="120">
        <v>2.2000000000000002</v>
      </c>
      <c r="D478" s="1">
        <f t="shared" si="13"/>
        <v>2.09</v>
      </c>
    </row>
    <row r="479" spans="1:4" ht="21.75" customHeight="1" x14ac:dyDescent="0.25">
      <c r="A479" s="43" t="s">
        <v>899</v>
      </c>
      <c r="B479" s="117" t="s">
        <v>900</v>
      </c>
      <c r="C479" s="120">
        <v>4.4000000000000004</v>
      </c>
      <c r="D479" s="1">
        <f t="shared" si="13"/>
        <v>4.18</v>
      </c>
    </row>
    <row r="480" spans="1:4" ht="21.75" customHeight="1" x14ac:dyDescent="0.25">
      <c r="A480" s="43" t="s">
        <v>901</v>
      </c>
      <c r="B480" s="117" t="s">
        <v>902</v>
      </c>
      <c r="C480" s="120">
        <v>0.7</v>
      </c>
      <c r="D480" s="1">
        <f t="shared" si="13"/>
        <v>0.66499999999999992</v>
      </c>
    </row>
    <row r="481" spans="1:4" ht="21.75" customHeight="1" x14ac:dyDescent="0.25">
      <c r="A481" s="43"/>
      <c r="B481" s="117" t="s">
        <v>903</v>
      </c>
      <c r="C481" s="120">
        <v>6.45</v>
      </c>
      <c r="D481" s="1">
        <f t="shared" si="13"/>
        <v>6.1274999999999995</v>
      </c>
    </row>
    <row r="482" spans="1:4" ht="21.75" customHeight="1" x14ac:dyDescent="0.25">
      <c r="A482" s="43" t="s">
        <v>904</v>
      </c>
      <c r="B482" s="117" t="s">
        <v>905</v>
      </c>
      <c r="C482" s="120">
        <v>9.6199999999999992</v>
      </c>
      <c r="D482" s="1">
        <f t="shared" si="13"/>
        <v>9.1389999999999993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7E07-E0D4-DB4C-9555-8FA18DF2B528}">
  <sheetPr>
    <tabColor theme="8" tint="0.39997558519241921"/>
  </sheetPr>
  <dimension ref="A1:E17"/>
  <sheetViews>
    <sheetView zoomScaleNormal="150" zoomScaleSheetLayoutView="100" workbookViewId="0"/>
  </sheetViews>
  <sheetFormatPr baseColWidth="10" defaultColWidth="9.140625" defaultRowHeight="15" x14ac:dyDescent="0.25"/>
  <cols>
    <col min="1" max="1" width="2.7109375" bestFit="1" customWidth="1"/>
    <col min="2" max="2" width="18.140625" customWidth="1"/>
    <col min="3" max="5" width="10.85546875" customWidth="1"/>
  </cols>
  <sheetData>
    <row r="1" spans="1:5" x14ac:dyDescent="0.25">
      <c r="C1" s="8" t="s">
        <v>1074</v>
      </c>
      <c r="D1" s="8" t="s">
        <v>1075</v>
      </c>
      <c r="E1" s="8" t="s">
        <v>1076</v>
      </c>
    </row>
    <row r="2" spans="1:5" s="43" customFormat="1" ht="20.25" customHeight="1" x14ac:dyDescent="0.25">
      <c r="A2" s="180" t="s">
        <v>1060</v>
      </c>
      <c r="B2" s="43" t="s">
        <v>1054</v>
      </c>
    </row>
    <row r="3" spans="1:5" s="43" customFormat="1" ht="20.25" customHeight="1" x14ac:dyDescent="0.25">
      <c r="A3" s="180"/>
      <c r="B3" s="43" t="s">
        <v>1055</v>
      </c>
    </row>
    <row r="4" spans="1:5" s="43" customFormat="1" ht="20.25" customHeight="1" x14ac:dyDescent="0.25">
      <c r="A4" s="180"/>
      <c r="B4" s="43" t="s">
        <v>1056</v>
      </c>
    </row>
    <row r="5" spans="1:5" s="43" customFormat="1" ht="20.25" customHeight="1" x14ac:dyDescent="0.25">
      <c r="A5" s="180"/>
      <c r="B5" s="43" t="s">
        <v>1057</v>
      </c>
    </row>
    <row r="6" spans="1:5" s="43" customFormat="1" ht="20.25" customHeight="1" x14ac:dyDescent="0.25">
      <c r="A6" s="180"/>
      <c r="B6" s="43" t="s">
        <v>1058</v>
      </c>
    </row>
    <row r="7" spans="1:5" s="43" customFormat="1" ht="20.25" customHeight="1" x14ac:dyDescent="0.25">
      <c r="A7" s="180"/>
      <c r="B7" s="43" t="s">
        <v>1059</v>
      </c>
    </row>
    <row r="8" spans="1:5" s="43" customFormat="1" ht="20.25" customHeight="1" x14ac:dyDescent="0.25">
      <c r="A8" s="180" t="s">
        <v>1061</v>
      </c>
      <c r="B8" s="43" t="s">
        <v>1062</v>
      </c>
    </row>
    <row r="9" spans="1:5" s="43" customFormat="1" ht="20.25" customHeight="1" x14ac:dyDescent="0.25">
      <c r="A9" s="180"/>
      <c r="B9" s="43" t="s">
        <v>1063</v>
      </c>
    </row>
    <row r="10" spans="1:5" s="43" customFormat="1" ht="20.25" customHeight="1" x14ac:dyDescent="0.25">
      <c r="A10" s="180"/>
      <c r="B10" s="43" t="s">
        <v>1064</v>
      </c>
    </row>
    <row r="11" spans="1:5" s="43" customFormat="1" ht="20.25" customHeight="1" x14ac:dyDescent="0.25">
      <c r="A11" s="180" t="s">
        <v>1065</v>
      </c>
      <c r="B11" s="43" t="s">
        <v>1066</v>
      </c>
    </row>
    <row r="12" spans="1:5" s="43" customFormat="1" ht="20.25" customHeight="1" x14ac:dyDescent="0.25">
      <c r="A12" s="180"/>
      <c r="B12" s="43" t="s">
        <v>1067</v>
      </c>
    </row>
    <row r="13" spans="1:5" s="43" customFormat="1" ht="20.25" customHeight="1" x14ac:dyDescent="0.25">
      <c r="A13" s="180"/>
      <c r="B13" s="43" t="s">
        <v>1068</v>
      </c>
    </row>
    <row r="14" spans="1:5" s="43" customFormat="1" ht="20.25" customHeight="1" x14ac:dyDescent="0.25">
      <c r="A14" s="180" t="s">
        <v>1069</v>
      </c>
      <c r="B14" s="43" t="s">
        <v>1070</v>
      </c>
    </row>
    <row r="15" spans="1:5" s="43" customFormat="1" ht="20.25" customHeight="1" x14ac:dyDescent="0.25">
      <c r="A15" s="180"/>
      <c r="B15" s="43" t="s">
        <v>1071</v>
      </c>
    </row>
    <row r="16" spans="1:5" s="43" customFormat="1" ht="20.25" customHeight="1" x14ac:dyDescent="0.25">
      <c r="A16" s="180"/>
      <c r="B16" s="43" t="s">
        <v>1072</v>
      </c>
    </row>
    <row r="17" spans="1:2" s="43" customFormat="1" ht="20.25" customHeight="1" x14ac:dyDescent="0.25">
      <c r="A17" s="180"/>
      <c r="B17" s="43" t="s">
        <v>1073</v>
      </c>
    </row>
  </sheetData>
  <sheetProtection algorithmName="SHA-512" hashValue="NVPbzik6dkpOUPrumqmrMQ2H5/HnpS59OLfgZiI72jLBqvyRXF4+I8eNowCCeS+P6R6jEikJD+DEaYnHYdAM5Q==" saltValue="bKhCf9+9rAhjTHqpk1qHwQ==" spinCount="100000" sheet="1" objects="1" scenarios="1"/>
  <mergeCells count="4">
    <mergeCell ref="A2:A7"/>
    <mergeCell ref="A8:A10"/>
    <mergeCell ref="A11:A13"/>
    <mergeCell ref="A14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2006-4792-C14F-8AEB-8DAA515E889C}">
  <sheetPr codeName="Feuil3">
    <tabColor theme="7" tint="0.39997558519241921"/>
    <pageSetUpPr fitToPage="1"/>
  </sheetPr>
  <dimension ref="A1:K486"/>
  <sheetViews>
    <sheetView tabSelected="1" topLeftCell="A145" zoomScale="110" zoomScaleNormal="110" workbookViewId="0">
      <selection activeCell="B157" sqref="B157"/>
    </sheetView>
  </sheetViews>
  <sheetFormatPr baseColWidth="10" defaultColWidth="10.7109375" defaultRowHeight="15" x14ac:dyDescent="0.25"/>
  <cols>
    <col min="2" max="2" width="38.42578125" style="2" bestFit="1" customWidth="1"/>
    <col min="3" max="3" width="7.140625" style="3" bestFit="1" customWidth="1"/>
    <col min="4" max="5" width="10.85546875" style="4"/>
    <col min="6" max="6" width="10.85546875" style="5"/>
    <col min="7" max="7" width="10.28515625" style="5" bestFit="1" customWidth="1"/>
    <col min="8" max="8" width="10.7109375" style="5"/>
    <col min="9" max="9" width="22.85546875" style="8" customWidth="1"/>
    <col min="10" max="10" width="10.85546875" style="1"/>
  </cols>
  <sheetData>
    <row r="1" spans="1:11" ht="17.25" x14ac:dyDescent="0.25">
      <c r="A1" s="123" t="s">
        <v>6</v>
      </c>
      <c r="B1" s="79" t="s">
        <v>7</v>
      </c>
      <c r="C1" s="79" t="s">
        <v>906</v>
      </c>
      <c r="D1" s="80" t="s">
        <v>3</v>
      </c>
      <c r="E1" s="80" t="s">
        <v>907</v>
      </c>
      <c r="F1" s="81" t="s">
        <v>908</v>
      </c>
      <c r="G1" s="82" t="s">
        <v>909</v>
      </c>
      <c r="H1" s="125" t="s">
        <v>910</v>
      </c>
      <c r="I1" s="10" t="s">
        <v>911</v>
      </c>
      <c r="J1" s="11" t="s">
        <v>912</v>
      </c>
    </row>
    <row r="2" spans="1:11" ht="9" customHeight="1" x14ac:dyDescent="0.25">
      <c r="A2" s="124"/>
      <c r="C2" s="79"/>
      <c r="D2" s="80"/>
      <c r="E2" s="80"/>
      <c r="F2" s="81"/>
      <c r="G2" s="82"/>
    </row>
    <row r="3" spans="1:11" s="43" customFormat="1" ht="23.25" customHeight="1" x14ac:dyDescent="0.25">
      <c r="A3" s="41" t="s">
        <v>8</v>
      </c>
      <c r="B3" s="44" t="s">
        <v>9</v>
      </c>
      <c r="C3" s="13">
        <v>1</v>
      </c>
      <c r="D3" s="45">
        <v>9.8800000000000008</v>
      </c>
      <c r="E3" s="45"/>
      <c r="F3" s="46"/>
      <c r="G3" s="46"/>
      <c r="H3" s="46"/>
      <c r="I3" s="12" t="s">
        <v>3</v>
      </c>
      <c r="J3" s="42">
        <v>9.8800000000000008</v>
      </c>
      <c r="K3" s="78"/>
    </row>
    <row r="4" spans="1:11" s="43" customFormat="1" ht="23.25" customHeight="1" x14ac:dyDescent="0.25">
      <c r="A4" s="41" t="s">
        <v>10</v>
      </c>
      <c r="B4" s="44" t="s">
        <v>11</v>
      </c>
      <c r="C4" s="13">
        <v>1</v>
      </c>
      <c r="D4" s="45">
        <v>8.34</v>
      </c>
      <c r="E4" s="45"/>
      <c r="F4" s="46"/>
      <c r="G4" s="46"/>
      <c r="H4" s="46"/>
      <c r="I4" s="12" t="s">
        <v>3</v>
      </c>
      <c r="J4" s="42">
        <v>8.34</v>
      </c>
      <c r="K4" s="78"/>
    </row>
    <row r="5" spans="1:11" s="43" customFormat="1" ht="23.25" customHeight="1" x14ac:dyDescent="0.25">
      <c r="A5" s="104" t="s">
        <v>12</v>
      </c>
      <c r="B5" s="105" t="s">
        <v>13</v>
      </c>
      <c r="C5" s="106">
        <v>1</v>
      </c>
      <c r="D5" s="107"/>
      <c r="E5" s="107">
        <v>7.266</v>
      </c>
      <c r="F5" s="108"/>
      <c r="G5" s="108"/>
      <c r="H5" s="108">
        <v>5.8550000000000004</v>
      </c>
      <c r="I5" s="109" t="s">
        <v>910</v>
      </c>
      <c r="J5" s="110">
        <v>5.8550000000000004</v>
      </c>
      <c r="K5" s="78"/>
    </row>
    <row r="6" spans="1:11" s="43" customFormat="1" ht="23.25" customHeight="1" x14ac:dyDescent="0.25">
      <c r="A6" s="104" t="s">
        <v>14</v>
      </c>
      <c r="B6" s="105" t="s">
        <v>15</v>
      </c>
      <c r="C6" s="106">
        <v>1</v>
      </c>
      <c r="D6" s="107">
        <v>9.8800000000000008</v>
      </c>
      <c r="E6" s="107">
        <v>12.366</v>
      </c>
      <c r="F6" s="108"/>
      <c r="G6" s="108"/>
      <c r="H6" s="108">
        <v>9.75</v>
      </c>
      <c r="I6" s="109" t="s">
        <v>910</v>
      </c>
      <c r="J6" s="110">
        <v>9.75</v>
      </c>
      <c r="K6" s="78"/>
    </row>
    <row r="7" spans="1:11" s="43" customFormat="1" ht="23.25" customHeight="1" x14ac:dyDescent="0.25">
      <c r="A7" s="47" t="s">
        <v>16</v>
      </c>
      <c r="B7" s="48" t="s">
        <v>17</v>
      </c>
      <c r="C7" s="16">
        <v>1</v>
      </c>
      <c r="D7" s="49"/>
      <c r="E7" s="49">
        <v>12.441000000000001</v>
      </c>
      <c r="F7" s="50"/>
      <c r="G7" s="50"/>
      <c r="H7" s="50"/>
      <c r="I7" s="17" t="s">
        <v>913</v>
      </c>
      <c r="J7" s="51">
        <v>12.441000000000001</v>
      </c>
      <c r="K7" s="78"/>
    </row>
    <row r="8" spans="1:11" s="43" customFormat="1" ht="23.25" customHeight="1" x14ac:dyDescent="0.25">
      <c r="A8" s="41" t="s">
        <v>18</v>
      </c>
      <c r="B8" s="44" t="s">
        <v>19</v>
      </c>
      <c r="C8" s="13">
        <v>1</v>
      </c>
      <c r="D8" s="45">
        <v>2.95</v>
      </c>
      <c r="E8" s="45">
        <v>2.9609999999999999</v>
      </c>
      <c r="F8" s="46"/>
      <c r="G8" s="46"/>
      <c r="H8" s="46"/>
      <c r="I8" s="12" t="s">
        <v>3</v>
      </c>
      <c r="J8" s="42">
        <v>2.75</v>
      </c>
      <c r="K8" s="78"/>
    </row>
    <row r="9" spans="1:11" s="43" customFormat="1" ht="23.25" customHeight="1" x14ac:dyDescent="0.25">
      <c r="A9" s="47" t="s">
        <v>20</v>
      </c>
      <c r="B9" s="48" t="s">
        <v>21</v>
      </c>
      <c r="C9" s="16">
        <v>1</v>
      </c>
      <c r="D9" s="49">
        <v>8.69</v>
      </c>
      <c r="E9" s="49">
        <v>7.55</v>
      </c>
      <c r="F9" s="50">
        <v>7.55</v>
      </c>
      <c r="G9" s="50"/>
      <c r="H9" s="50"/>
      <c r="I9" s="17" t="s">
        <v>913</v>
      </c>
      <c r="J9" s="51">
        <v>7.24</v>
      </c>
      <c r="K9" s="78"/>
    </row>
    <row r="10" spans="1:11" s="43" customFormat="1" ht="23.25" customHeight="1" x14ac:dyDescent="0.25">
      <c r="A10" s="104" t="s">
        <v>22</v>
      </c>
      <c r="B10" s="105" t="s">
        <v>23</v>
      </c>
      <c r="C10" s="106">
        <v>1</v>
      </c>
      <c r="D10" s="107">
        <v>7.8</v>
      </c>
      <c r="E10" s="107">
        <v>8.1620000000000008</v>
      </c>
      <c r="F10" s="108">
        <v>8.1</v>
      </c>
      <c r="G10" s="108"/>
      <c r="H10" s="108">
        <v>7.3</v>
      </c>
      <c r="I10" s="109" t="s">
        <v>910</v>
      </c>
      <c r="J10" s="110">
        <v>7.3</v>
      </c>
      <c r="K10" s="78"/>
    </row>
    <row r="11" spans="1:11" s="43" customFormat="1" ht="23.25" customHeight="1" x14ac:dyDescent="0.25">
      <c r="A11" s="104" t="s">
        <v>24</v>
      </c>
      <c r="B11" s="105" t="s">
        <v>25</v>
      </c>
      <c r="C11" s="106">
        <v>4</v>
      </c>
      <c r="D11" s="107">
        <v>18.5</v>
      </c>
      <c r="E11" s="107"/>
      <c r="F11" s="108"/>
      <c r="G11" s="108"/>
      <c r="H11" s="108">
        <f>4.3*4</f>
        <v>17.2</v>
      </c>
      <c r="I11" s="109" t="s">
        <v>3</v>
      </c>
      <c r="J11" s="110">
        <v>17.2</v>
      </c>
      <c r="K11" s="78"/>
    </row>
    <row r="12" spans="1:11" s="43" customFormat="1" ht="23.25" customHeight="1" x14ac:dyDescent="0.25">
      <c r="A12" s="41" t="s">
        <v>26</v>
      </c>
      <c r="B12" s="44" t="s">
        <v>27</v>
      </c>
      <c r="C12" s="13">
        <v>1</v>
      </c>
      <c r="D12" s="45">
        <f>8.95/2</f>
        <v>4.4749999999999996</v>
      </c>
      <c r="E12" s="45">
        <v>5.1340000000000003</v>
      </c>
      <c r="F12" s="46">
        <v>4.75</v>
      </c>
      <c r="G12" s="46"/>
      <c r="H12" s="46"/>
      <c r="I12" s="12" t="s">
        <v>3</v>
      </c>
      <c r="J12" s="42">
        <v>4.4800000000000004</v>
      </c>
      <c r="K12" s="78"/>
    </row>
    <row r="13" spans="1:11" s="43" customFormat="1" ht="23.25" customHeight="1" x14ac:dyDescent="0.25">
      <c r="A13" s="41" t="s">
        <v>28</v>
      </c>
      <c r="B13" s="44" t="s">
        <v>29</v>
      </c>
      <c r="C13" s="13">
        <v>1</v>
      </c>
      <c r="D13" s="45">
        <v>6.9</v>
      </c>
      <c r="E13" s="45">
        <v>7.32</v>
      </c>
      <c r="F13" s="46"/>
      <c r="G13" s="46"/>
      <c r="H13" s="46"/>
      <c r="I13" s="12" t="s">
        <v>3</v>
      </c>
      <c r="J13" s="42">
        <v>6.9</v>
      </c>
      <c r="K13" s="78"/>
    </row>
    <row r="14" spans="1:11" s="43" customFormat="1" ht="23.25" customHeight="1" x14ac:dyDescent="0.25">
      <c r="A14" s="47" t="s">
        <v>30</v>
      </c>
      <c r="B14" s="48" t="s">
        <v>31</v>
      </c>
      <c r="C14" s="16">
        <v>1</v>
      </c>
      <c r="D14" s="49">
        <v>9.52</v>
      </c>
      <c r="E14" s="49">
        <v>7.5090000000000003</v>
      </c>
      <c r="F14" s="50"/>
      <c r="G14" s="50"/>
      <c r="H14" s="50"/>
      <c r="I14" s="17" t="s">
        <v>913</v>
      </c>
      <c r="J14" s="51">
        <v>7.51</v>
      </c>
      <c r="K14" s="78"/>
    </row>
    <row r="15" spans="1:11" s="43" customFormat="1" ht="23.25" customHeight="1" x14ac:dyDescent="0.25">
      <c r="A15" s="104" t="s">
        <v>32</v>
      </c>
      <c r="B15" s="105" t="s">
        <v>33</v>
      </c>
      <c r="C15" s="106">
        <v>1</v>
      </c>
      <c r="D15" s="107"/>
      <c r="E15" s="107">
        <v>9.8049999999999997</v>
      </c>
      <c r="F15" s="108"/>
      <c r="G15" s="108"/>
      <c r="H15" s="108">
        <v>6.25</v>
      </c>
      <c r="I15" s="109" t="s">
        <v>910</v>
      </c>
      <c r="J15" s="110">
        <v>6.25</v>
      </c>
      <c r="K15" s="78"/>
    </row>
    <row r="16" spans="1:11" s="43" customFormat="1" ht="23.25" customHeight="1" x14ac:dyDescent="0.25">
      <c r="A16" s="41" t="s">
        <v>34</v>
      </c>
      <c r="B16" s="44" t="s">
        <v>35</v>
      </c>
      <c r="C16" s="13">
        <v>10</v>
      </c>
      <c r="D16" s="45">
        <v>5.24</v>
      </c>
      <c r="E16" s="45">
        <v>9.11</v>
      </c>
      <c r="F16" s="46"/>
      <c r="G16" s="46"/>
      <c r="H16" s="46"/>
      <c r="I16" s="12" t="s">
        <v>3</v>
      </c>
      <c r="J16" s="42">
        <v>5.24</v>
      </c>
      <c r="K16" s="78"/>
    </row>
    <row r="17" spans="1:11" s="43" customFormat="1" ht="23.25" customHeight="1" x14ac:dyDescent="0.25">
      <c r="A17" s="41"/>
      <c r="B17" s="44" t="s">
        <v>36</v>
      </c>
      <c r="C17" s="13">
        <v>10</v>
      </c>
      <c r="D17" s="45">
        <v>5.3070000000000004</v>
      </c>
      <c r="E17" s="45">
        <v>8.2899999999999991</v>
      </c>
      <c r="F17" s="46"/>
      <c r="G17" s="46"/>
      <c r="H17" s="46"/>
      <c r="I17" s="12" t="s">
        <v>3</v>
      </c>
      <c r="J17" s="42">
        <v>5.31</v>
      </c>
      <c r="K17" s="78"/>
    </row>
    <row r="18" spans="1:11" s="43" customFormat="1" ht="23.25" customHeight="1" x14ac:dyDescent="0.25">
      <c r="A18" s="104" t="s">
        <v>37</v>
      </c>
      <c r="B18" s="105" t="s">
        <v>38</v>
      </c>
      <c r="C18" s="106">
        <v>1</v>
      </c>
      <c r="D18" s="107">
        <v>6.2</v>
      </c>
      <c r="E18" s="107">
        <v>9.8049999999999997</v>
      </c>
      <c r="F18" s="108"/>
      <c r="G18" s="108"/>
      <c r="H18" s="108">
        <v>5.15</v>
      </c>
      <c r="I18" s="109" t="s">
        <v>910</v>
      </c>
      <c r="J18" s="110">
        <v>5.15</v>
      </c>
      <c r="K18" s="78"/>
    </row>
    <row r="19" spans="1:11" s="43" customFormat="1" ht="23.25" customHeight="1" x14ac:dyDescent="0.25">
      <c r="A19" s="41" t="s">
        <v>39</v>
      </c>
      <c r="B19" s="44" t="s">
        <v>40</v>
      </c>
      <c r="C19" s="13">
        <v>1</v>
      </c>
      <c r="D19" s="45">
        <v>6.89</v>
      </c>
      <c r="E19" s="45">
        <v>7.45</v>
      </c>
      <c r="F19" s="46"/>
      <c r="G19" s="46"/>
      <c r="H19" s="46"/>
      <c r="I19" s="12" t="s">
        <v>3</v>
      </c>
      <c r="J19" s="42">
        <v>6.89</v>
      </c>
      <c r="K19" s="78"/>
    </row>
    <row r="20" spans="1:11" s="43" customFormat="1" ht="23.25" customHeight="1" x14ac:dyDescent="0.25">
      <c r="A20" s="41" t="s">
        <v>41</v>
      </c>
      <c r="B20" s="44" t="s">
        <v>42</v>
      </c>
      <c r="C20" s="13" t="s">
        <v>914</v>
      </c>
      <c r="D20" s="45">
        <v>5.31</v>
      </c>
      <c r="E20" s="45">
        <v>6.29</v>
      </c>
      <c r="F20" s="46"/>
      <c r="G20" s="46"/>
      <c r="H20" s="46"/>
      <c r="I20" s="12" t="s">
        <v>3</v>
      </c>
      <c r="J20" s="42">
        <v>5.31</v>
      </c>
      <c r="K20" s="78"/>
    </row>
    <row r="21" spans="1:11" s="43" customFormat="1" ht="23.25" customHeight="1" x14ac:dyDescent="0.25">
      <c r="A21" s="47" t="s">
        <v>43</v>
      </c>
      <c r="B21" s="48" t="s">
        <v>44</v>
      </c>
      <c r="C21" s="16">
        <v>1</v>
      </c>
      <c r="D21" s="49">
        <v>7.1120000000000001</v>
      </c>
      <c r="E21" s="49">
        <v>6.83</v>
      </c>
      <c r="F21" s="50">
        <v>7.7</v>
      </c>
      <c r="G21" s="50"/>
      <c r="H21" s="50"/>
      <c r="I21" s="17" t="s">
        <v>913</v>
      </c>
      <c r="J21" s="51">
        <v>6.83</v>
      </c>
      <c r="K21" s="78"/>
    </row>
    <row r="22" spans="1:11" s="43" customFormat="1" ht="23.25" customHeight="1" x14ac:dyDescent="0.25">
      <c r="A22" s="47" t="s">
        <v>45</v>
      </c>
      <c r="B22" s="48" t="s">
        <v>46</v>
      </c>
      <c r="C22" s="16">
        <v>1</v>
      </c>
      <c r="D22" s="49">
        <v>5.9379999999999997</v>
      </c>
      <c r="E22" s="49">
        <v>2.407</v>
      </c>
      <c r="F22" s="50"/>
      <c r="G22" s="50"/>
      <c r="H22" s="50"/>
      <c r="I22" s="17" t="s">
        <v>913</v>
      </c>
      <c r="J22" s="51">
        <v>2.41</v>
      </c>
      <c r="K22" s="78"/>
    </row>
    <row r="23" spans="1:11" s="43" customFormat="1" ht="23.25" customHeight="1" x14ac:dyDescent="0.25">
      <c r="A23" s="47" t="s">
        <v>47</v>
      </c>
      <c r="B23" s="48" t="s">
        <v>48</v>
      </c>
      <c r="C23" s="16">
        <v>1</v>
      </c>
      <c r="D23" s="49"/>
      <c r="E23" s="49">
        <v>4.766</v>
      </c>
      <c r="F23" s="50"/>
      <c r="G23" s="50"/>
      <c r="H23" s="50"/>
      <c r="I23" s="17" t="s">
        <v>913</v>
      </c>
      <c r="J23" s="51">
        <v>4.7699999999999996</v>
      </c>
      <c r="K23" s="78"/>
    </row>
    <row r="24" spans="1:11" s="43" customFormat="1" ht="23.25" customHeight="1" x14ac:dyDescent="0.25">
      <c r="A24" s="41" t="s">
        <v>49</v>
      </c>
      <c r="B24" s="44" t="s">
        <v>50</v>
      </c>
      <c r="C24" s="13">
        <v>1</v>
      </c>
      <c r="D24" s="45">
        <v>17.899999999999999</v>
      </c>
      <c r="E24" s="45">
        <v>20.86</v>
      </c>
      <c r="F24" s="46"/>
      <c r="G24" s="46"/>
      <c r="H24" s="46"/>
      <c r="I24" s="12" t="s">
        <v>3</v>
      </c>
      <c r="J24" s="42">
        <v>17.899999999999999</v>
      </c>
      <c r="K24" s="78"/>
    </row>
    <row r="25" spans="1:11" s="43" customFormat="1" ht="23.25" customHeight="1" x14ac:dyDescent="0.25">
      <c r="B25" s="117" t="s">
        <v>51</v>
      </c>
      <c r="C25" s="3">
        <v>1</v>
      </c>
      <c r="D25" s="118"/>
      <c r="E25" s="118"/>
      <c r="F25" s="119"/>
      <c r="G25" s="119">
        <v>11</v>
      </c>
      <c r="H25" s="119"/>
      <c r="I25" s="8" t="s">
        <v>915</v>
      </c>
      <c r="J25" s="120">
        <f>+G25</f>
        <v>11</v>
      </c>
      <c r="K25" s="78"/>
    </row>
    <row r="26" spans="1:11" s="43" customFormat="1" ht="23.25" customHeight="1" x14ac:dyDescent="0.25">
      <c r="A26" s="104" t="s">
        <v>52</v>
      </c>
      <c r="B26" s="105" t="s">
        <v>53</v>
      </c>
      <c r="C26" s="106">
        <v>1</v>
      </c>
      <c r="D26" s="107">
        <v>13.86</v>
      </c>
      <c r="E26" s="107">
        <v>11.196</v>
      </c>
      <c r="F26" s="108"/>
      <c r="G26" s="108"/>
      <c r="H26" s="108">
        <v>8.1999999999999993</v>
      </c>
      <c r="I26" s="109" t="s">
        <v>910</v>
      </c>
      <c r="J26" s="110">
        <v>8.1999999999999993</v>
      </c>
      <c r="K26" s="78"/>
    </row>
    <row r="27" spans="1:11" s="43" customFormat="1" ht="23.25" customHeight="1" x14ac:dyDescent="0.25">
      <c r="A27" s="41" t="s">
        <v>54</v>
      </c>
      <c r="B27" s="44" t="s">
        <v>55</v>
      </c>
      <c r="C27" s="13">
        <v>100</v>
      </c>
      <c r="D27" s="45">
        <f>7.5/100</f>
        <v>7.4999999999999997E-2</v>
      </c>
      <c r="E27" s="45">
        <f>6.58/50</f>
        <v>0.13159999999999999</v>
      </c>
      <c r="F27" s="46"/>
      <c r="G27" s="46"/>
      <c r="H27" s="46"/>
      <c r="I27" s="12" t="s">
        <v>3</v>
      </c>
      <c r="J27" s="42">
        <v>0.08</v>
      </c>
      <c r="K27" s="78"/>
    </row>
    <row r="28" spans="1:11" s="43" customFormat="1" ht="23.25" customHeight="1" x14ac:dyDescent="0.25">
      <c r="A28" s="104" t="s">
        <v>56</v>
      </c>
      <c r="B28" s="105" t="s">
        <v>57</v>
      </c>
      <c r="C28" s="106">
        <v>1</v>
      </c>
      <c r="D28" s="107">
        <v>12.99</v>
      </c>
      <c r="E28" s="107">
        <v>14</v>
      </c>
      <c r="F28" s="108">
        <f>5.5*2</f>
        <v>11</v>
      </c>
      <c r="G28" s="108"/>
      <c r="H28" s="108">
        <v>10.6</v>
      </c>
      <c r="I28" s="109" t="s">
        <v>910</v>
      </c>
      <c r="J28" s="110">
        <v>10.6</v>
      </c>
      <c r="K28" s="78"/>
    </row>
    <row r="29" spans="1:11" s="43" customFormat="1" ht="23.25" customHeight="1" x14ac:dyDescent="0.25">
      <c r="A29" s="41" t="s">
        <v>58</v>
      </c>
      <c r="B29" s="44" t="s">
        <v>59</v>
      </c>
      <c r="C29" s="13">
        <v>30</v>
      </c>
      <c r="D29" s="45"/>
      <c r="E29" s="45"/>
      <c r="F29" s="46"/>
      <c r="G29" s="46"/>
      <c r="H29" s="46"/>
      <c r="I29" s="12" t="s">
        <v>3</v>
      </c>
      <c r="J29" s="42"/>
      <c r="K29" s="78"/>
    </row>
    <row r="30" spans="1:11" s="43" customFormat="1" ht="23.25" customHeight="1" x14ac:dyDescent="0.25">
      <c r="A30" s="57" t="s">
        <v>60</v>
      </c>
      <c r="B30" s="58" t="s">
        <v>61</v>
      </c>
      <c r="C30" s="20">
        <v>1</v>
      </c>
      <c r="D30" s="59"/>
      <c r="E30" s="59"/>
      <c r="F30" s="60"/>
      <c r="G30" s="60">
        <v>1.5</v>
      </c>
      <c r="H30" s="60"/>
      <c r="I30" s="19" t="s">
        <v>916</v>
      </c>
      <c r="J30" s="61">
        <v>1.5</v>
      </c>
      <c r="K30" s="78"/>
    </row>
    <row r="31" spans="1:11" s="43" customFormat="1" ht="23.25" customHeight="1" x14ac:dyDescent="0.25">
      <c r="A31" s="104" t="s">
        <v>62</v>
      </c>
      <c r="B31" s="105" t="s">
        <v>63</v>
      </c>
      <c r="C31" s="106">
        <v>500</v>
      </c>
      <c r="D31" s="107">
        <v>10.9</v>
      </c>
      <c r="E31" s="107">
        <v>9.4600000000000009</v>
      </c>
      <c r="F31" s="108"/>
      <c r="G31" s="108"/>
      <c r="H31" s="108">
        <v>8.25</v>
      </c>
      <c r="I31" s="109" t="s">
        <v>910</v>
      </c>
      <c r="J31" s="110">
        <v>8.25</v>
      </c>
      <c r="K31" s="78"/>
    </row>
    <row r="32" spans="1:11" s="43" customFormat="1" ht="23.25" customHeight="1" x14ac:dyDescent="0.25">
      <c r="A32" s="47" t="s">
        <v>64</v>
      </c>
      <c r="B32" s="48" t="s">
        <v>65</v>
      </c>
      <c r="C32" s="16">
        <v>1</v>
      </c>
      <c r="D32" s="49"/>
      <c r="E32" s="49">
        <v>4.63</v>
      </c>
      <c r="F32" s="50"/>
      <c r="G32" s="50"/>
      <c r="H32" s="50"/>
      <c r="I32" s="17" t="s">
        <v>913</v>
      </c>
      <c r="J32" s="51">
        <v>4.63</v>
      </c>
      <c r="K32" s="78"/>
    </row>
    <row r="33" spans="1:11" s="43" customFormat="1" ht="23.25" customHeight="1" x14ac:dyDescent="0.25">
      <c r="A33" s="47" t="s">
        <v>66</v>
      </c>
      <c r="B33" s="48" t="s">
        <v>67</v>
      </c>
      <c r="C33" s="16">
        <v>1</v>
      </c>
      <c r="D33" s="49"/>
      <c r="E33" s="49">
        <v>10.09</v>
      </c>
      <c r="F33" s="50"/>
      <c r="G33" s="50"/>
      <c r="H33" s="50"/>
      <c r="I33" s="17" t="s">
        <v>913</v>
      </c>
      <c r="J33" s="51">
        <v>8.3000000000000007</v>
      </c>
      <c r="K33" s="78"/>
    </row>
    <row r="34" spans="1:11" s="43" customFormat="1" ht="23.25" customHeight="1" x14ac:dyDescent="0.25">
      <c r="A34" s="104" t="s">
        <v>68</v>
      </c>
      <c r="B34" s="105" t="s">
        <v>69</v>
      </c>
      <c r="C34" s="106">
        <v>1</v>
      </c>
      <c r="D34" s="107">
        <v>5.4</v>
      </c>
      <c r="E34" s="107">
        <v>5.38</v>
      </c>
      <c r="F34" s="108"/>
      <c r="G34" s="108"/>
      <c r="H34" s="108">
        <v>4.8</v>
      </c>
      <c r="I34" s="109" t="s">
        <v>910</v>
      </c>
      <c r="J34" s="110">
        <v>4.8</v>
      </c>
      <c r="K34" s="78"/>
    </row>
    <row r="35" spans="1:11" s="43" customFormat="1" ht="23.25" customHeight="1" x14ac:dyDescent="0.25">
      <c r="A35" s="47" t="s">
        <v>70</v>
      </c>
      <c r="B35" s="48" t="s">
        <v>71</v>
      </c>
      <c r="C35" s="16">
        <v>1</v>
      </c>
      <c r="D35" s="49">
        <v>7.4669999999999996</v>
      </c>
      <c r="E35" s="49">
        <v>7.34</v>
      </c>
      <c r="F35" s="50">
        <v>9.3930000000000007</v>
      </c>
      <c r="G35" s="50"/>
      <c r="H35" s="50"/>
      <c r="I35" s="17" t="s">
        <v>913</v>
      </c>
      <c r="J35" s="51">
        <v>7.34</v>
      </c>
      <c r="K35" s="78"/>
    </row>
    <row r="36" spans="1:11" s="43" customFormat="1" ht="23.25" customHeight="1" x14ac:dyDescent="0.25">
      <c r="A36" s="104" t="s">
        <v>72</v>
      </c>
      <c r="B36" s="105" t="s">
        <v>73</v>
      </c>
      <c r="C36" s="106">
        <v>1</v>
      </c>
      <c r="D36" s="107">
        <v>9.5</v>
      </c>
      <c r="E36" s="107">
        <v>10.34</v>
      </c>
      <c r="F36" s="108"/>
      <c r="G36" s="108"/>
      <c r="H36" s="108">
        <v>9.1</v>
      </c>
      <c r="I36" s="109" t="s">
        <v>917</v>
      </c>
      <c r="J36" s="110">
        <v>9.1</v>
      </c>
      <c r="K36" s="78"/>
    </row>
    <row r="37" spans="1:11" s="43" customFormat="1" ht="23.25" customHeight="1" x14ac:dyDescent="0.25">
      <c r="A37" s="41" t="s">
        <v>74</v>
      </c>
      <c r="B37" s="44" t="s">
        <v>75</v>
      </c>
      <c r="C37" s="13">
        <v>24</v>
      </c>
      <c r="D37" s="45">
        <v>0.69899999999999995</v>
      </c>
      <c r="E37" s="45"/>
      <c r="F37" s="46"/>
      <c r="G37" s="46"/>
      <c r="H37" s="46">
        <v>0.69399999999999995</v>
      </c>
      <c r="I37" s="12" t="s">
        <v>3</v>
      </c>
      <c r="J37" s="42">
        <v>0.65</v>
      </c>
      <c r="K37" s="78"/>
    </row>
    <row r="38" spans="1:11" s="43" customFormat="1" ht="23.25" customHeight="1" x14ac:dyDescent="0.25">
      <c r="A38" s="47" t="s">
        <v>76</v>
      </c>
      <c r="B38" s="48" t="s">
        <v>77</v>
      </c>
      <c r="C38" s="16">
        <v>1</v>
      </c>
      <c r="D38" s="49"/>
      <c r="E38" s="49">
        <v>2.1819999999999999</v>
      </c>
      <c r="F38" s="50"/>
      <c r="G38" s="50"/>
      <c r="H38" s="50"/>
      <c r="I38" s="17" t="s">
        <v>913</v>
      </c>
      <c r="J38" s="51">
        <v>2.1800000000000002</v>
      </c>
      <c r="K38" s="78"/>
    </row>
    <row r="39" spans="1:11" s="43" customFormat="1" ht="23.25" customHeight="1" x14ac:dyDescent="0.25">
      <c r="A39" s="104" t="s">
        <v>78</v>
      </c>
      <c r="B39" s="105" t="s">
        <v>79</v>
      </c>
      <c r="C39" s="106">
        <v>1</v>
      </c>
      <c r="D39" s="107">
        <v>3.694</v>
      </c>
      <c r="E39" s="107">
        <v>3.5059999999999998</v>
      </c>
      <c r="F39" s="108">
        <v>3.2</v>
      </c>
      <c r="G39" s="108"/>
      <c r="H39" s="108">
        <v>3.29</v>
      </c>
      <c r="I39" s="109" t="s">
        <v>910</v>
      </c>
      <c r="J39" s="110">
        <v>3.29</v>
      </c>
      <c r="K39" s="78"/>
    </row>
    <row r="40" spans="1:11" s="43" customFormat="1" ht="23.25" customHeight="1" x14ac:dyDescent="0.25">
      <c r="A40" s="47" t="s">
        <v>80</v>
      </c>
      <c r="B40" s="48" t="s">
        <v>81</v>
      </c>
      <c r="C40" s="16">
        <v>1</v>
      </c>
      <c r="D40" s="49">
        <v>16.170000000000002</v>
      </c>
      <c r="E40" s="49">
        <v>13.65</v>
      </c>
      <c r="F40" s="50">
        <v>13.69</v>
      </c>
      <c r="G40" s="50"/>
      <c r="H40" s="50"/>
      <c r="I40" s="17" t="s">
        <v>913</v>
      </c>
      <c r="J40" s="51">
        <v>13.65</v>
      </c>
      <c r="K40" s="78"/>
    </row>
    <row r="41" spans="1:11" s="43" customFormat="1" ht="23.25" customHeight="1" x14ac:dyDescent="0.25">
      <c r="A41" s="47" t="s">
        <v>82</v>
      </c>
      <c r="B41" s="48" t="s">
        <v>83</v>
      </c>
      <c r="C41" s="16">
        <v>450</v>
      </c>
      <c r="D41" s="49"/>
      <c r="E41" s="49">
        <v>2.5259999999999998</v>
      </c>
      <c r="F41" s="50"/>
      <c r="G41" s="50"/>
      <c r="H41" s="50"/>
      <c r="I41" s="17" t="s">
        <v>913</v>
      </c>
      <c r="J41" s="51">
        <v>2.5299999999999998</v>
      </c>
      <c r="K41" s="78"/>
    </row>
    <row r="42" spans="1:11" s="43" customFormat="1" ht="23.25" customHeight="1" x14ac:dyDescent="0.25">
      <c r="A42" s="47" t="s">
        <v>84</v>
      </c>
      <c r="B42" s="48" t="s">
        <v>85</v>
      </c>
      <c r="C42" s="16">
        <v>50</v>
      </c>
      <c r="D42" s="49">
        <v>22.106999999999999</v>
      </c>
      <c r="E42" s="49">
        <f>14.978/2</f>
        <v>7.4889999999999999</v>
      </c>
      <c r="F42" s="50"/>
      <c r="G42" s="50"/>
      <c r="H42" s="50"/>
      <c r="I42" s="17" t="s">
        <v>913</v>
      </c>
      <c r="J42" s="51">
        <v>7.49</v>
      </c>
      <c r="K42" s="78"/>
    </row>
    <row r="43" spans="1:11" s="43" customFormat="1" ht="23.25" customHeight="1" x14ac:dyDescent="0.25">
      <c r="A43" s="41"/>
      <c r="B43" s="44" t="s">
        <v>86</v>
      </c>
      <c r="C43" s="13">
        <v>10</v>
      </c>
      <c r="D43" s="45">
        <v>6.6980000000000004</v>
      </c>
      <c r="E43" s="45"/>
      <c r="F43" s="46"/>
      <c r="G43" s="46"/>
      <c r="H43" s="46"/>
      <c r="I43" s="12" t="s">
        <v>3</v>
      </c>
      <c r="J43" s="42">
        <v>6.7</v>
      </c>
      <c r="K43" s="78"/>
    </row>
    <row r="44" spans="1:11" s="43" customFormat="1" ht="23.25" customHeight="1" x14ac:dyDescent="0.25">
      <c r="A44" s="52" t="s">
        <v>87</v>
      </c>
      <c r="B44" s="53" t="s">
        <v>88</v>
      </c>
      <c r="C44" s="14">
        <v>1</v>
      </c>
      <c r="D44" s="54">
        <v>9.5500000000000007</v>
      </c>
      <c r="E44" s="54">
        <v>11.1</v>
      </c>
      <c r="F44" s="55">
        <v>9.09</v>
      </c>
      <c r="G44" s="55"/>
      <c r="H44" s="55"/>
      <c r="I44" s="15" t="s">
        <v>918</v>
      </c>
      <c r="J44" s="56">
        <v>9.09</v>
      </c>
      <c r="K44" s="78"/>
    </row>
    <row r="45" spans="1:11" s="43" customFormat="1" ht="23.25" customHeight="1" x14ac:dyDescent="0.25">
      <c r="A45" s="41" t="s">
        <v>90</v>
      </c>
      <c r="B45" s="44" t="s">
        <v>91</v>
      </c>
      <c r="C45" s="13">
        <v>1</v>
      </c>
      <c r="D45" s="45">
        <v>19.5</v>
      </c>
      <c r="E45" s="45"/>
      <c r="F45" s="46"/>
      <c r="G45" s="46"/>
      <c r="H45" s="46"/>
      <c r="I45" s="12" t="s">
        <v>3</v>
      </c>
      <c r="J45" s="42">
        <v>25.896999999999998</v>
      </c>
      <c r="K45" s="78"/>
    </row>
    <row r="46" spans="1:11" s="43" customFormat="1" ht="23.25" customHeight="1" x14ac:dyDescent="0.25">
      <c r="A46" s="41"/>
      <c r="B46" s="44" t="s">
        <v>92</v>
      </c>
      <c r="C46" s="13">
        <v>1</v>
      </c>
      <c r="D46" s="45">
        <v>17.5</v>
      </c>
      <c r="E46" s="45"/>
      <c r="F46" s="46"/>
      <c r="G46" s="46"/>
      <c r="H46" s="46"/>
      <c r="I46" s="12" t="s">
        <v>3</v>
      </c>
      <c r="J46" s="42">
        <v>17.5</v>
      </c>
      <c r="K46" s="78"/>
    </row>
    <row r="47" spans="1:11" s="43" customFormat="1" ht="23.25" customHeight="1" x14ac:dyDescent="0.25">
      <c r="A47" s="41" t="s">
        <v>93</v>
      </c>
      <c r="B47" s="44" t="s">
        <v>94</v>
      </c>
      <c r="C47" s="13">
        <v>1</v>
      </c>
      <c r="D47" s="45">
        <v>3.95</v>
      </c>
      <c r="E47" s="45">
        <v>5.99</v>
      </c>
      <c r="F47" s="46"/>
      <c r="G47" s="46"/>
      <c r="H47" s="46"/>
      <c r="I47" s="12" t="s">
        <v>3</v>
      </c>
      <c r="J47" s="42">
        <v>3.95</v>
      </c>
      <c r="K47" s="78"/>
    </row>
    <row r="48" spans="1:11" s="43" customFormat="1" ht="23.25" customHeight="1" x14ac:dyDescent="0.25">
      <c r="A48" s="104" t="s">
        <v>95</v>
      </c>
      <c r="B48" s="105" t="s">
        <v>96</v>
      </c>
      <c r="C48" s="106">
        <v>1</v>
      </c>
      <c r="D48" s="107">
        <v>22.5</v>
      </c>
      <c r="E48" s="107">
        <f>9.06*3</f>
        <v>27.18</v>
      </c>
      <c r="F48" s="108"/>
      <c r="G48" s="108"/>
      <c r="H48" s="108">
        <v>19.295000000000002</v>
      </c>
      <c r="I48" s="109" t="s">
        <v>910</v>
      </c>
      <c r="J48" s="110">
        <v>19.3</v>
      </c>
      <c r="K48" s="78"/>
    </row>
    <row r="49" spans="1:11" s="43" customFormat="1" ht="23.25" customHeight="1" x14ac:dyDescent="0.25">
      <c r="A49" s="41" t="s">
        <v>97</v>
      </c>
      <c r="B49" s="44" t="s">
        <v>98</v>
      </c>
      <c r="C49" s="13">
        <v>1</v>
      </c>
      <c r="D49" s="45">
        <v>26.5</v>
      </c>
      <c r="E49" s="45">
        <v>29.471</v>
      </c>
      <c r="F49" s="46"/>
      <c r="G49" s="46"/>
      <c r="H49" s="46"/>
      <c r="I49" s="12" t="s">
        <v>3</v>
      </c>
      <c r="J49" s="42">
        <v>26.5</v>
      </c>
      <c r="K49" s="78"/>
    </row>
    <row r="50" spans="1:11" s="43" customFormat="1" ht="23.25" customHeight="1" x14ac:dyDescent="0.25">
      <c r="A50" s="41" t="s">
        <v>99</v>
      </c>
      <c r="B50" s="44" t="s">
        <v>100</v>
      </c>
      <c r="C50" s="13">
        <v>1</v>
      </c>
      <c r="D50" s="45">
        <v>16.875</v>
      </c>
      <c r="E50" s="45">
        <f>4.546*4</f>
        <v>18.184000000000001</v>
      </c>
      <c r="F50" s="46"/>
      <c r="G50" s="46"/>
      <c r="H50" s="46"/>
      <c r="I50" s="12" t="s">
        <v>3</v>
      </c>
      <c r="J50" s="42">
        <v>16.88</v>
      </c>
      <c r="K50" s="78"/>
    </row>
    <row r="51" spans="1:11" s="43" customFormat="1" ht="23.25" customHeight="1" x14ac:dyDescent="0.25">
      <c r="A51" s="41" t="s">
        <v>101</v>
      </c>
      <c r="B51" s="44" t="s">
        <v>102</v>
      </c>
      <c r="C51" s="13">
        <v>1000</v>
      </c>
      <c r="D51" s="45">
        <f>8.56*5</f>
        <v>42.800000000000004</v>
      </c>
      <c r="E51" s="45">
        <f>9.489*5</f>
        <v>47.445000000000007</v>
      </c>
      <c r="F51" s="46"/>
      <c r="G51" s="46"/>
      <c r="H51" s="46"/>
      <c r="I51" s="12" t="s">
        <v>3</v>
      </c>
      <c r="J51" s="42">
        <v>42.8</v>
      </c>
      <c r="K51" s="78"/>
    </row>
    <row r="52" spans="1:11" s="43" customFormat="1" ht="23.25" customHeight="1" x14ac:dyDescent="0.25">
      <c r="A52" s="47" t="s">
        <v>103</v>
      </c>
      <c r="B52" s="48" t="s">
        <v>104</v>
      </c>
      <c r="C52" s="16">
        <v>50</v>
      </c>
      <c r="D52" s="49">
        <v>47.5</v>
      </c>
      <c r="E52" s="49">
        <v>32.578000000000003</v>
      </c>
      <c r="F52" s="50"/>
      <c r="G52" s="50"/>
      <c r="H52" s="50"/>
      <c r="I52" s="17" t="s">
        <v>913</v>
      </c>
      <c r="J52" s="51">
        <v>32.58</v>
      </c>
      <c r="K52" s="78"/>
    </row>
    <row r="53" spans="1:11" s="43" customFormat="1" ht="23.25" customHeight="1" x14ac:dyDescent="0.25">
      <c r="A53" s="41"/>
      <c r="B53" s="44" t="s">
        <v>105</v>
      </c>
      <c r="C53" s="13">
        <v>1</v>
      </c>
      <c r="D53" s="45">
        <v>0.02</v>
      </c>
      <c r="E53" s="122">
        <f>20.923/1000</f>
        <v>2.0922999999999997E-2</v>
      </c>
      <c r="F53" s="46"/>
      <c r="G53" s="46"/>
      <c r="H53" s="46"/>
      <c r="I53" s="12" t="s">
        <v>3</v>
      </c>
      <c r="J53" s="42">
        <v>0.02</v>
      </c>
      <c r="K53" s="78"/>
    </row>
    <row r="54" spans="1:11" s="43" customFormat="1" ht="23.25" customHeight="1" x14ac:dyDescent="0.25">
      <c r="A54" s="47" t="s">
        <v>106</v>
      </c>
      <c r="B54" s="48" t="s">
        <v>107</v>
      </c>
      <c r="C54" s="16">
        <v>1000</v>
      </c>
      <c r="D54" s="49">
        <v>18.5</v>
      </c>
      <c r="E54" s="49">
        <v>16.619</v>
      </c>
      <c r="F54" s="50"/>
      <c r="G54" s="50"/>
      <c r="H54" s="50"/>
      <c r="I54" s="17" t="s">
        <v>913</v>
      </c>
      <c r="J54" s="51">
        <v>16.62</v>
      </c>
      <c r="K54" s="78"/>
    </row>
    <row r="55" spans="1:11" s="43" customFormat="1" ht="23.25" customHeight="1" x14ac:dyDescent="0.25">
      <c r="A55" s="47" t="s">
        <v>108</v>
      </c>
      <c r="B55" s="48" t="s">
        <v>109</v>
      </c>
      <c r="C55" s="16">
        <v>1000</v>
      </c>
      <c r="D55" s="49">
        <v>86.984999999999999</v>
      </c>
      <c r="E55" s="49">
        <v>74.459999999999994</v>
      </c>
      <c r="F55" s="50"/>
      <c r="G55" s="50"/>
      <c r="H55" s="50"/>
      <c r="I55" s="17" t="s">
        <v>913</v>
      </c>
      <c r="J55" s="51">
        <v>74.459999999999994</v>
      </c>
      <c r="K55" s="78"/>
    </row>
    <row r="56" spans="1:11" s="43" customFormat="1" ht="23.25" customHeight="1" x14ac:dyDescent="0.25">
      <c r="A56" s="104"/>
      <c r="B56" s="105" t="s">
        <v>110</v>
      </c>
      <c r="C56" s="106">
        <v>1000</v>
      </c>
      <c r="D56" s="107">
        <v>1.6500000000000001E-2</v>
      </c>
      <c r="E56" s="115">
        <f>16.619/1000</f>
        <v>1.6618999999999998E-2</v>
      </c>
      <c r="F56" s="108"/>
      <c r="G56" s="108"/>
      <c r="H56" s="108">
        <f>6.878/1000</f>
        <v>6.8780000000000004E-3</v>
      </c>
      <c r="I56" s="109" t="s">
        <v>910</v>
      </c>
      <c r="J56" s="110">
        <f>6.878/1000</f>
        <v>6.8780000000000004E-3</v>
      </c>
      <c r="K56" s="78"/>
    </row>
    <row r="57" spans="1:11" s="43" customFormat="1" ht="23.25" customHeight="1" x14ac:dyDescent="0.25">
      <c r="A57" s="47" t="s">
        <v>111</v>
      </c>
      <c r="B57" s="48" t="s">
        <v>112</v>
      </c>
      <c r="C57" s="16">
        <v>50</v>
      </c>
      <c r="D57" s="49">
        <v>9.7230000000000008</v>
      </c>
      <c r="E57" s="49">
        <f>8.77/2</f>
        <v>4.3849999999999998</v>
      </c>
      <c r="F57" s="50"/>
      <c r="G57" s="50"/>
      <c r="H57" s="50"/>
      <c r="I57" s="17" t="s">
        <v>913</v>
      </c>
      <c r="J57" s="51">
        <v>4.3899999999999997</v>
      </c>
      <c r="K57" s="78"/>
    </row>
    <row r="58" spans="1:11" s="43" customFormat="1" ht="23.25" customHeight="1" x14ac:dyDescent="0.25">
      <c r="A58" s="104" t="s">
        <v>113</v>
      </c>
      <c r="B58" s="105" t="s">
        <v>114</v>
      </c>
      <c r="C58" s="106">
        <v>100</v>
      </c>
      <c r="D58" s="107">
        <v>4.95</v>
      </c>
      <c r="E58" s="107">
        <v>4.2839999999999998</v>
      </c>
      <c r="F58" s="108"/>
      <c r="G58" s="108"/>
      <c r="H58" s="108">
        <v>3.79</v>
      </c>
      <c r="I58" s="109" t="s">
        <v>910</v>
      </c>
      <c r="J58" s="110">
        <v>3.79</v>
      </c>
      <c r="K58" s="78"/>
    </row>
    <row r="59" spans="1:11" s="43" customFormat="1" ht="23.25" customHeight="1" x14ac:dyDescent="0.25">
      <c r="A59" s="104" t="s">
        <v>115</v>
      </c>
      <c r="B59" s="105" t="s">
        <v>116</v>
      </c>
      <c r="C59" s="106">
        <v>100</v>
      </c>
      <c r="D59" s="107">
        <v>5.8</v>
      </c>
      <c r="E59" s="107">
        <v>4.9279999999999999</v>
      </c>
      <c r="F59" s="108"/>
      <c r="G59" s="108"/>
      <c r="H59" s="108">
        <v>4.29</v>
      </c>
      <c r="I59" s="109" t="s">
        <v>910</v>
      </c>
      <c r="J59" s="110">
        <v>4.29</v>
      </c>
      <c r="K59" s="78"/>
    </row>
    <row r="60" spans="1:11" s="43" customFormat="1" ht="23.25" customHeight="1" x14ac:dyDescent="0.25">
      <c r="A60" s="104" t="s">
        <v>117</v>
      </c>
      <c r="B60" s="105" t="s">
        <v>118</v>
      </c>
      <c r="C60" s="106">
        <v>100</v>
      </c>
      <c r="D60" s="107">
        <v>6</v>
      </c>
      <c r="E60" s="107">
        <v>5.1539999999999999</v>
      </c>
      <c r="F60" s="108"/>
      <c r="G60" s="108"/>
      <c r="H60" s="108">
        <v>4.49</v>
      </c>
      <c r="I60" s="109" t="s">
        <v>910</v>
      </c>
      <c r="J60" s="110">
        <v>4.49</v>
      </c>
      <c r="K60" s="78"/>
    </row>
    <row r="61" spans="1:11" s="43" customFormat="1" ht="23.25" customHeight="1" x14ac:dyDescent="0.25">
      <c r="A61" s="104" t="s">
        <v>119</v>
      </c>
      <c r="B61" s="105" t="s">
        <v>120</v>
      </c>
      <c r="C61" s="106">
        <v>100</v>
      </c>
      <c r="D61" s="107">
        <v>6.2</v>
      </c>
      <c r="E61" s="107">
        <v>5.7880000000000003</v>
      </c>
      <c r="F61" s="108"/>
      <c r="G61" s="108"/>
      <c r="H61" s="108">
        <v>5.15</v>
      </c>
      <c r="I61" s="109" t="s">
        <v>910</v>
      </c>
      <c r="J61" s="110">
        <v>5.15</v>
      </c>
      <c r="K61" s="78"/>
    </row>
    <row r="62" spans="1:11" s="43" customFormat="1" ht="23.25" customHeight="1" x14ac:dyDescent="0.25">
      <c r="A62" s="41"/>
      <c r="B62" s="44" t="s">
        <v>121</v>
      </c>
      <c r="C62" s="13">
        <v>1</v>
      </c>
      <c r="D62" s="45">
        <v>42.643999999999998</v>
      </c>
      <c r="E62" s="45"/>
      <c r="F62" s="46"/>
      <c r="G62" s="46"/>
      <c r="H62" s="46"/>
      <c r="I62" s="12" t="s">
        <v>3</v>
      </c>
      <c r="J62" s="42">
        <v>42.643999999999998</v>
      </c>
      <c r="K62" s="78"/>
    </row>
    <row r="63" spans="1:11" s="43" customFormat="1" ht="23.25" customHeight="1" x14ac:dyDescent="0.25">
      <c r="A63" s="41" t="s">
        <v>122</v>
      </c>
      <c r="B63" s="44" t="s">
        <v>123</v>
      </c>
      <c r="C63" s="13">
        <v>200</v>
      </c>
      <c r="D63" s="102">
        <f>8.56/200</f>
        <v>4.2800000000000005E-2</v>
      </c>
      <c r="E63" s="102">
        <f>9.489/200</f>
        <v>4.7445000000000001E-2</v>
      </c>
      <c r="F63" s="103"/>
      <c r="G63" s="103">
        <f>7.9/200</f>
        <v>3.95E-2</v>
      </c>
      <c r="H63" s="46"/>
      <c r="I63" s="12" t="s">
        <v>3</v>
      </c>
      <c r="J63" s="42">
        <v>0.04</v>
      </c>
      <c r="K63" s="78"/>
    </row>
    <row r="64" spans="1:11" s="43" customFormat="1" ht="23.25" customHeight="1" x14ac:dyDescent="0.25">
      <c r="A64" s="131"/>
      <c r="B64" s="53" t="s">
        <v>124</v>
      </c>
      <c r="C64" s="14">
        <v>0.24</v>
      </c>
      <c r="D64" s="132"/>
      <c r="E64" s="132"/>
      <c r="F64" s="133"/>
      <c r="G64" s="55">
        <v>1.73</v>
      </c>
      <c r="H64" s="133"/>
      <c r="I64" s="15" t="s">
        <v>918</v>
      </c>
      <c r="J64" s="134">
        <v>1.73</v>
      </c>
      <c r="K64" s="78"/>
    </row>
    <row r="65" spans="1:11" s="43" customFormat="1" ht="23.25" customHeight="1" x14ac:dyDescent="0.25">
      <c r="A65" s="52"/>
      <c r="B65" s="53" t="s">
        <v>125</v>
      </c>
      <c r="C65" s="14">
        <v>1</v>
      </c>
      <c r="D65" s="54"/>
      <c r="E65" s="54"/>
      <c r="F65" s="55">
        <v>4.4000000000000004</v>
      </c>
      <c r="G65" s="55"/>
      <c r="H65" s="55"/>
      <c r="I65" s="15" t="s">
        <v>918</v>
      </c>
      <c r="J65" s="56">
        <v>4.4000000000000004</v>
      </c>
      <c r="K65" s="78"/>
    </row>
    <row r="66" spans="1:11" s="43" customFormat="1" ht="23.25" customHeight="1" x14ac:dyDescent="0.25">
      <c r="A66" s="41" t="s">
        <v>126</v>
      </c>
      <c r="B66" s="44" t="s">
        <v>127</v>
      </c>
      <c r="C66" s="13">
        <v>40</v>
      </c>
      <c r="D66" s="45">
        <v>16.760000000000002</v>
      </c>
      <c r="E66" s="45">
        <v>0.376</v>
      </c>
      <c r="F66" s="46"/>
      <c r="G66" s="46"/>
      <c r="H66" s="46"/>
      <c r="I66" s="12" t="s">
        <v>3</v>
      </c>
      <c r="J66" s="42">
        <v>0.376</v>
      </c>
      <c r="K66" s="78"/>
    </row>
    <row r="67" spans="1:11" s="43" customFormat="1" ht="23.25" customHeight="1" x14ac:dyDescent="0.25">
      <c r="A67" s="41" t="s">
        <v>128</v>
      </c>
      <c r="B67" s="44" t="s">
        <v>129</v>
      </c>
      <c r="C67" s="13">
        <v>1</v>
      </c>
      <c r="D67" s="45">
        <v>2.5</v>
      </c>
      <c r="E67" s="45"/>
      <c r="F67" s="46"/>
      <c r="G67" s="46"/>
      <c r="H67" s="46"/>
      <c r="I67" s="12" t="s">
        <v>3</v>
      </c>
      <c r="J67" s="42">
        <v>2.5</v>
      </c>
      <c r="K67" s="78"/>
    </row>
    <row r="68" spans="1:11" s="43" customFormat="1" ht="23.25" customHeight="1" x14ac:dyDescent="0.25">
      <c r="A68" s="57" t="s">
        <v>130</v>
      </c>
      <c r="B68" s="58" t="s">
        <v>131</v>
      </c>
      <c r="C68" s="20">
        <v>1</v>
      </c>
      <c r="D68" s="59"/>
      <c r="E68" s="59"/>
      <c r="F68" s="60"/>
      <c r="G68" s="60">
        <v>1.2</v>
      </c>
      <c r="H68" s="60"/>
      <c r="I68" s="19" t="s">
        <v>916</v>
      </c>
      <c r="J68" s="61">
        <v>1.2</v>
      </c>
      <c r="K68" s="78"/>
    </row>
    <row r="69" spans="1:11" s="43" customFormat="1" ht="23.25" customHeight="1" x14ac:dyDescent="0.25">
      <c r="A69" s="104" t="s">
        <v>132</v>
      </c>
      <c r="B69" s="105" t="s">
        <v>133</v>
      </c>
      <c r="C69" s="106">
        <v>50</v>
      </c>
      <c r="D69" s="107"/>
      <c r="E69" s="107">
        <v>5.4809999999999999</v>
      </c>
      <c r="F69" s="108"/>
      <c r="G69" s="108"/>
      <c r="H69" s="108">
        <v>4.55</v>
      </c>
      <c r="I69" s="109" t="s">
        <v>910</v>
      </c>
      <c r="J69" s="110">
        <v>4.55</v>
      </c>
      <c r="K69" s="78"/>
    </row>
    <row r="70" spans="1:11" s="43" customFormat="1" ht="23.25" customHeight="1" x14ac:dyDescent="0.25">
      <c r="A70" s="104" t="s">
        <v>134</v>
      </c>
      <c r="B70" s="105" t="s">
        <v>135</v>
      </c>
      <c r="C70" s="106">
        <v>50</v>
      </c>
      <c r="D70" s="107"/>
      <c r="E70" s="107">
        <v>7.4340000000000002</v>
      </c>
      <c r="F70" s="108"/>
      <c r="G70" s="108"/>
      <c r="H70" s="108">
        <v>6.29</v>
      </c>
      <c r="I70" s="109" t="s">
        <v>910</v>
      </c>
      <c r="J70" s="110">
        <v>6.29</v>
      </c>
      <c r="K70" s="78"/>
    </row>
    <row r="71" spans="1:11" s="43" customFormat="1" ht="23.25" customHeight="1" x14ac:dyDescent="0.25">
      <c r="A71" s="104" t="s">
        <v>136</v>
      </c>
      <c r="B71" s="105" t="s">
        <v>137</v>
      </c>
      <c r="C71" s="106">
        <v>250</v>
      </c>
      <c r="D71" s="107">
        <v>3.9</v>
      </c>
      <c r="E71" s="107">
        <f>7.734/2</f>
        <v>3.867</v>
      </c>
      <c r="F71" s="108"/>
      <c r="G71" s="108"/>
      <c r="H71" s="108">
        <v>3.39</v>
      </c>
      <c r="I71" s="109" t="s">
        <v>910</v>
      </c>
      <c r="J71" s="110">
        <v>3.39</v>
      </c>
      <c r="K71" s="78"/>
    </row>
    <row r="72" spans="1:11" s="43" customFormat="1" ht="23.25" customHeight="1" x14ac:dyDescent="0.25">
      <c r="A72" s="104" t="s">
        <v>138</v>
      </c>
      <c r="B72" s="105" t="s">
        <v>139</v>
      </c>
      <c r="C72" s="106">
        <v>250</v>
      </c>
      <c r="D72" s="107">
        <v>4.28</v>
      </c>
      <c r="E72" s="107">
        <v>9.86</v>
      </c>
      <c r="F72" s="108"/>
      <c r="G72" s="108"/>
      <c r="H72" s="108">
        <v>3.85</v>
      </c>
      <c r="I72" s="109" t="s">
        <v>910</v>
      </c>
      <c r="J72" s="110">
        <v>3.85</v>
      </c>
      <c r="K72" s="78"/>
    </row>
    <row r="73" spans="1:11" s="43" customFormat="1" ht="23.25" customHeight="1" x14ac:dyDescent="0.25">
      <c r="A73" s="104" t="s">
        <v>140</v>
      </c>
      <c r="B73" s="105" t="s">
        <v>141</v>
      </c>
      <c r="C73" s="106">
        <v>250</v>
      </c>
      <c r="D73" s="107"/>
      <c r="E73" s="107">
        <f>12.418/2</f>
        <v>6.2089999999999996</v>
      </c>
      <c r="F73" s="108"/>
      <c r="G73" s="108"/>
      <c r="H73" s="108">
        <v>5.39</v>
      </c>
      <c r="I73" s="109" t="s">
        <v>910</v>
      </c>
      <c r="J73" s="110">
        <v>5.39</v>
      </c>
      <c r="K73" s="78"/>
    </row>
    <row r="74" spans="1:11" s="43" customFormat="1" ht="23.25" customHeight="1" x14ac:dyDescent="0.25">
      <c r="A74" s="41" t="s">
        <v>142</v>
      </c>
      <c r="B74" s="44" t="s">
        <v>143</v>
      </c>
      <c r="C74" s="13">
        <v>1</v>
      </c>
      <c r="D74" s="45">
        <v>5.0869999999999997</v>
      </c>
      <c r="E74" s="45">
        <v>6.77</v>
      </c>
      <c r="F74" s="46"/>
      <c r="G74" s="46"/>
      <c r="H74" s="46"/>
      <c r="I74" s="12" t="s">
        <v>3</v>
      </c>
      <c r="J74" s="42">
        <v>5.09</v>
      </c>
      <c r="K74" s="78"/>
    </row>
    <row r="75" spans="1:11" s="43" customFormat="1" ht="23.25" customHeight="1" x14ac:dyDescent="0.25">
      <c r="A75" s="41" t="s">
        <v>144</v>
      </c>
      <c r="B75" s="44" t="s">
        <v>145</v>
      </c>
      <c r="C75" s="13">
        <v>1</v>
      </c>
      <c r="D75" s="45">
        <v>9.8000000000000007</v>
      </c>
      <c r="E75" s="45">
        <f>2.56*4</f>
        <v>10.24</v>
      </c>
      <c r="F75" s="46"/>
      <c r="G75" s="46"/>
      <c r="H75" s="46"/>
      <c r="I75" s="12" t="s">
        <v>3</v>
      </c>
      <c r="J75" s="42">
        <v>9.8000000000000007</v>
      </c>
      <c r="K75" s="78"/>
    </row>
    <row r="76" spans="1:11" s="43" customFormat="1" ht="23.25" customHeight="1" x14ac:dyDescent="0.25">
      <c r="A76" s="41" t="s">
        <v>146</v>
      </c>
      <c r="B76" s="44" t="s">
        <v>147</v>
      </c>
      <c r="C76" s="13">
        <v>1</v>
      </c>
      <c r="D76" s="45">
        <v>8.9629999999999992</v>
      </c>
      <c r="E76" s="45">
        <v>11.53</v>
      </c>
      <c r="F76" s="46">
        <v>8.68</v>
      </c>
      <c r="G76" s="46"/>
      <c r="H76" s="46"/>
      <c r="I76" s="12" t="s">
        <v>3</v>
      </c>
      <c r="J76" s="42">
        <v>8.9600000000000009</v>
      </c>
      <c r="K76" s="78"/>
    </row>
    <row r="77" spans="1:11" s="43" customFormat="1" ht="23.25" customHeight="1" x14ac:dyDescent="0.25">
      <c r="A77" s="41"/>
      <c r="B77" s="44" t="s">
        <v>149</v>
      </c>
      <c r="C77" s="13">
        <v>1</v>
      </c>
      <c r="D77" s="45">
        <v>7.68</v>
      </c>
      <c r="E77" s="45"/>
      <c r="F77" s="46">
        <v>9.3000000000000007</v>
      </c>
      <c r="G77" s="46"/>
      <c r="H77" s="46"/>
      <c r="I77" s="12" t="s">
        <v>3</v>
      </c>
      <c r="J77" s="42">
        <v>7.68</v>
      </c>
      <c r="K77" s="78"/>
    </row>
    <row r="78" spans="1:11" s="43" customFormat="1" ht="23.25" customHeight="1" x14ac:dyDescent="0.25">
      <c r="A78" s="41" t="s">
        <v>150</v>
      </c>
      <c r="B78" s="44" t="s">
        <v>151</v>
      </c>
      <c r="C78" s="13">
        <v>1</v>
      </c>
      <c r="D78" s="45">
        <v>12.69</v>
      </c>
      <c r="E78" s="45">
        <v>14.882999999999999</v>
      </c>
      <c r="F78" s="46">
        <v>15.24</v>
      </c>
      <c r="G78" s="46"/>
      <c r="H78" s="46"/>
      <c r="I78" s="12" t="s">
        <v>3</v>
      </c>
      <c r="J78" s="42">
        <v>12.69</v>
      </c>
      <c r="K78" s="78"/>
    </row>
    <row r="79" spans="1:11" s="43" customFormat="1" ht="23.25" customHeight="1" x14ac:dyDescent="0.25">
      <c r="A79" s="41" t="s">
        <v>152</v>
      </c>
      <c r="B79" s="44" t="s">
        <v>153</v>
      </c>
      <c r="C79" s="13">
        <v>1</v>
      </c>
      <c r="D79" s="45">
        <v>6.94</v>
      </c>
      <c r="E79" s="45">
        <v>8.07</v>
      </c>
      <c r="F79" s="46"/>
      <c r="G79" s="46"/>
      <c r="H79" s="46"/>
      <c r="I79" s="12" t="s">
        <v>3</v>
      </c>
      <c r="J79" s="42">
        <v>6.94</v>
      </c>
      <c r="K79" s="78"/>
    </row>
    <row r="80" spans="1:11" s="43" customFormat="1" ht="23.25" customHeight="1" x14ac:dyDescent="0.25">
      <c r="A80" s="47" t="s">
        <v>154</v>
      </c>
      <c r="B80" s="48" t="s">
        <v>155</v>
      </c>
      <c r="C80" s="16">
        <v>1</v>
      </c>
      <c r="D80" s="49"/>
      <c r="E80" s="49">
        <v>15.446999999999999</v>
      </c>
      <c r="F80" s="50">
        <v>16.16</v>
      </c>
      <c r="G80" s="50"/>
      <c r="H80" s="50"/>
      <c r="I80" s="17" t="s">
        <v>913</v>
      </c>
      <c r="J80" s="51">
        <v>15.45</v>
      </c>
      <c r="K80" s="78"/>
    </row>
    <row r="81" spans="1:11" s="43" customFormat="1" ht="23.25" customHeight="1" x14ac:dyDescent="0.25">
      <c r="A81" s="104" t="s">
        <v>156</v>
      </c>
      <c r="B81" s="105" t="s">
        <v>157</v>
      </c>
      <c r="C81" s="106">
        <v>0.5</v>
      </c>
      <c r="D81" s="107">
        <v>8.3870000000000005</v>
      </c>
      <c r="E81" s="107">
        <v>7.62</v>
      </c>
      <c r="F81" s="108"/>
      <c r="G81" s="108"/>
      <c r="H81" s="108">
        <v>7.1420000000000003</v>
      </c>
      <c r="I81" s="109" t="s">
        <v>910</v>
      </c>
      <c r="J81" s="110">
        <v>7.1420000000000003</v>
      </c>
      <c r="K81" s="78"/>
    </row>
    <row r="82" spans="1:11" s="43" customFormat="1" ht="23.25" customHeight="1" x14ac:dyDescent="0.25">
      <c r="A82" s="41" t="s">
        <v>158</v>
      </c>
      <c r="B82" s="44" t="s">
        <v>159</v>
      </c>
      <c r="C82" s="13">
        <v>100</v>
      </c>
      <c r="D82" s="45">
        <f>38.5/100</f>
        <v>0.38500000000000001</v>
      </c>
      <c r="E82" s="45">
        <v>0.747</v>
      </c>
      <c r="F82" s="46"/>
      <c r="G82" s="46"/>
      <c r="H82" s="46"/>
      <c r="I82" s="12" t="s">
        <v>3</v>
      </c>
      <c r="J82" s="42">
        <v>0.39</v>
      </c>
      <c r="K82" s="78"/>
    </row>
    <row r="83" spans="1:11" s="43" customFormat="1" ht="23.25" customHeight="1" x14ac:dyDescent="0.25">
      <c r="A83" s="104" t="s">
        <v>160</v>
      </c>
      <c r="B83" s="105" t="s">
        <v>161</v>
      </c>
      <c r="C83" s="106">
        <v>1</v>
      </c>
      <c r="D83" s="107">
        <v>5.47</v>
      </c>
      <c r="E83" s="107">
        <v>6.08</v>
      </c>
      <c r="F83" s="108">
        <v>5.49</v>
      </c>
      <c r="G83" s="108"/>
      <c r="H83" s="108">
        <v>4.95</v>
      </c>
      <c r="I83" s="109" t="s">
        <v>910</v>
      </c>
      <c r="J83" s="110">
        <v>4.95</v>
      </c>
      <c r="K83" s="78"/>
    </row>
    <row r="84" spans="1:11" s="43" customFormat="1" ht="23.25" customHeight="1" x14ac:dyDescent="0.25">
      <c r="A84" s="104" t="s">
        <v>162</v>
      </c>
      <c r="B84" s="105" t="s">
        <v>163</v>
      </c>
      <c r="C84" s="106">
        <v>1</v>
      </c>
      <c r="D84" s="107">
        <v>4.5</v>
      </c>
      <c r="E84" s="107">
        <v>6.08</v>
      </c>
      <c r="F84" s="108">
        <v>4.49</v>
      </c>
      <c r="G84" s="108"/>
      <c r="H84" s="108">
        <v>4.25</v>
      </c>
      <c r="I84" s="109" t="s">
        <v>910</v>
      </c>
      <c r="J84" s="110">
        <v>4.25</v>
      </c>
      <c r="K84" s="78"/>
    </row>
    <row r="85" spans="1:11" s="43" customFormat="1" ht="23.25" customHeight="1" x14ac:dyDescent="0.25">
      <c r="A85" s="52" t="s">
        <v>164</v>
      </c>
      <c r="B85" s="53" t="s">
        <v>165</v>
      </c>
      <c r="C85" s="14">
        <v>1</v>
      </c>
      <c r="D85" s="54">
        <f>9.938*2</f>
        <v>19.876000000000001</v>
      </c>
      <c r="E85" s="54">
        <v>16.02</v>
      </c>
      <c r="F85" s="55">
        <v>12.5</v>
      </c>
      <c r="G85" s="55"/>
      <c r="H85" s="55"/>
      <c r="I85" s="15" t="s">
        <v>918</v>
      </c>
      <c r="J85" s="56">
        <v>12.5</v>
      </c>
      <c r="K85" s="78"/>
    </row>
    <row r="86" spans="1:11" s="43" customFormat="1" ht="23.25" customHeight="1" x14ac:dyDescent="0.25">
      <c r="A86" s="57" t="s">
        <v>166</v>
      </c>
      <c r="B86" s="58" t="s">
        <v>167</v>
      </c>
      <c r="C86" s="20">
        <v>1</v>
      </c>
      <c r="D86" s="59"/>
      <c r="E86" s="59"/>
      <c r="F86" s="60"/>
      <c r="G86" s="60">
        <v>1.5</v>
      </c>
      <c r="H86" s="60"/>
      <c r="I86" s="19" t="s">
        <v>916</v>
      </c>
      <c r="J86" s="61">
        <v>1.5</v>
      </c>
      <c r="K86" s="78"/>
    </row>
    <row r="87" spans="1:11" s="43" customFormat="1" ht="23.25" customHeight="1" x14ac:dyDescent="0.25">
      <c r="A87" s="104"/>
      <c r="B87" s="105" t="s">
        <v>168</v>
      </c>
      <c r="C87" s="106">
        <v>1</v>
      </c>
      <c r="D87" s="107"/>
      <c r="E87" s="107"/>
      <c r="F87" s="108">
        <v>5.99</v>
      </c>
      <c r="G87" s="108"/>
      <c r="H87" s="108">
        <v>5.55</v>
      </c>
      <c r="I87" s="109" t="s">
        <v>910</v>
      </c>
      <c r="J87" s="110">
        <v>5.55</v>
      </c>
      <c r="K87" s="78"/>
    </row>
    <row r="88" spans="1:11" s="43" customFormat="1" ht="23.25" customHeight="1" x14ac:dyDescent="0.25">
      <c r="A88" s="41" t="s">
        <v>169</v>
      </c>
      <c r="B88" s="44" t="s">
        <v>170</v>
      </c>
      <c r="C88" s="13">
        <v>1</v>
      </c>
      <c r="D88" s="45">
        <v>2.66</v>
      </c>
      <c r="E88" s="45">
        <v>2.93</v>
      </c>
      <c r="F88" s="46"/>
      <c r="G88" s="46"/>
      <c r="H88" s="46"/>
      <c r="I88" s="12" t="s">
        <v>3</v>
      </c>
      <c r="J88" s="42">
        <v>2.66</v>
      </c>
      <c r="K88" s="78"/>
    </row>
    <row r="89" spans="1:11" s="43" customFormat="1" ht="23.25" customHeight="1" x14ac:dyDescent="0.25">
      <c r="A89" s="57" t="s">
        <v>171</v>
      </c>
      <c r="B89" s="58" t="s">
        <v>172</v>
      </c>
      <c r="C89" s="20">
        <v>1</v>
      </c>
      <c r="D89" s="59"/>
      <c r="E89" s="59"/>
      <c r="F89" s="60"/>
      <c r="G89" s="60">
        <v>1.95</v>
      </c>
      <c r="H89" s="60"/>
      <c r="I89" s="19" t="s">
        <v>916</v>
      </c>
      <c r="J89" s="61">
        <v>1.95</v>
      </c>
      <c r="K89" s="78"/>
    </row>
    <row r="90" spans="1:11" s="43" customFormat="1" ht="23.25" customHeight="1" x14ac:dyDescent="0.25">
      <c r="A90" s="104" t="s">
        <v>173</v>
      </c>
      <c r="B90" s="105" t="s">
        <v>174</v>
      </c>
      <c r="C90" s="106">
        <v>12</v>
      </c>
      <c r="D90" s="107">
        <v>1.6</v>
      </c>
      <c r="E90" s="107"/>
      <c r="F90" s="108"/>
      <c r="G90" s="108"/>
      <c r="H90" s="108">
        <v>1.585</v>
      </c>
      <c r="I90" s="109" t="s">
        <v>910</v>
      </c>
      <c r="J90" s="110">
        <v>1.585</v>
      </c>
      <c r="K90" s="78"/>
    </row>
    <row r="91" spans="1:11" s="43" customFormat="1" ht="23.25" customHeight="1" x14ac:dyDescent="0.25">
      <c r="A91" s="57" t="s">
        <v>175</v>
      </c>
      <c r="B91" s="58" t="s">
        <v>176</v>
      </c>
      <c r="C91" s="20">
        <v>1</v>
      </c>
      <c r="D91" s="59"/>
      <c r="E91" s="59"/>
      <c r="F91" s="60"/>
      <c r="G91" s="60">
        <v>2.95</v>
      </c>
      <c r="H91" s="60"/>
      <c r="I91" s="19" t="s">
        <v>916</v>
      </c>
      <c r="J91" s="61">
        <v>2.95</v>
      </c>
      <c r="K91" s="78"/>
    </row>
    <row r="92" spans="1:11" s="43" customFormat="1" ht="23.25" customHeight="1" x14ac:dyDescent="0.25">
      <c r="A92" s="57" t="s">
        <v>177</v>
      </c>
      <c r="B92" s="58" t="s">
        <v>178</v>
      </c>
      <c r="C92" s="20">
        <v>1</v>
      </c>
      <c r="D92" s="59"/>
      <c r="E92" s="59"/>
      <c r="F92" s="60"/>
      <c r="G92" s="60">
        <v>1.95</v>
      </c>
      <c r="H92" s="60"/>
      <c r="I92" s="19" t="s">
        <v>916</v>
      </c>
      <c r="J92" s="61">
        <v>1.95</v>
      </c>
      <c r="K92" s="78"/>
    </row>
    <row r="93" spans="1:11" s="43" customFormat="1" ht="23.25" customHeight="1" x14ac:dyDescent="0.25">
      <c r="A93" s="104" t="s">
        <v>179</v>
      </c>
      <c r="B93" s="105" t="s">
        <v>180</v>
      </c>
      <c r="C93" s="106">
        <v>24</v>
      </c>
      <c r="D93" s="107">
        <v>0.64700000000000002</v>
      </c>
      <c r="E93" s="107"/>
      <c r="F93" s="108"/>
      <c r="G93" s="108"/>
      <c r="H93" s="108">
        <v>0.58499999999999996</v>
      </c>
      <c r="I93" s="109" t="s">
        <v>910</v>
      </c>
      <c r="J93" s="110">
        <v>0.58499999999999996</v>
      </c>
      <c r="K93" s="78"/>
    </row>
    <row r="94" spans="1:11" s="43" customFormat="1" ht="23.25" customHeight="1" x14ac:dyDescent="0.25">
      <c r="A94" s="41" t="s">
        <v>181</v>
      </c>
      <c r="B94" s="44" t="s">
        <v>182</v>
      </c>
      <c r="C94" s="13">
        <v>24</v>
      </c>
      <c r="D94" s="45">
        <v>0.62</v>
      </c>
      <c r="E94" s="45"/>
      <c r="F94" s="46"/>
      <c r="G94" s="46"/>
      <c r="H94" s="46">
        <v>0.62</v>
      </c>
      <c r="I94" s="12" t="s">
        <v>3</v>
      </c>
      <c r="J94" s="42">
        <v>0.62</v>
      </c>
      <c r="K94" s="78"/>
    </row>
    <row r="95" spans="1:11" s="43" customFormat="1" ht="23.25" customHeight="1" x14ac:dyDescent="0.25">
      <c r="A95" s="41" t="s">
        <v>183</v>
      </c>
      <c r="B95" s="44" t="s">
        <v>184</v>
      </c>
      <c r="C95" s="13">
        <v>24</v>
      </c>
      <c r="D95" s="45">
        <v>0.88700000000000001</v>
      </c>
      <c r="E95" s="45"/>
      <c r="F95" s="46"/>
      <c r="G95" s="46"/>
      <c r="H95" s="46">
        <v>1.085</v>
      </c>
      <c r="I95" s="12" t="s">
        <v>3</v>
      </c>
      <c r="J95" s="42">
        <v>0.89</v>
      </c>
      <c r="K95" s="78"/>
    </row>
    <row r="96" spans="1:11" s="43" customFormat="1" ht="23.25" customHeight="1" x14ac:dyDescent="0.25">
      <c r="A96" s="41" t="s">
        <v>185</v>
      </c>
      <c r="B96" s="44" t="s">
        <v>186</v>
      </c>
      <c r="C96" s="13">
        <v>1</v>
      </c>
      <c r="D96" s="45">
        <v>4.7</v>
      </c>
      <c r="E96" s="45">
        <v>5.62</v>
      </c>
      <c r="F96" s="46"/>
      <c r="G96" s="46"/>
      <c r="H96" s="46"/>
      <c r="I96" s="12" t="s">
        <v>3</v>
      </c>
      <c r="J96" s="42">
        <v>3.8</v>
      </c>
      <c r="K96" s="78"/>
    </row>
    <row r="97" spans="1:11" s="43" customFormat="1" ht="23.25" customHeight="1" x14ac:dyDescent="0.25">
      <c r="A97" s="41" t="s">
        <v>187</v>
      </c>
      <c r="B97" s="44" t="s">
        <v>188</v>
      </c>
      <c r="C97" s="13">
        <v>24</v>
      </c>
      <c r="D97" s="45">
        <v>0.68</v>
      </c>
      <c r="E97" s="45"/>
      <c r="F97" s="46"/>
      <c r="G97" s="46"/>
      <c r="H97" s="46">
        <v>0.71899999999999997</v>
      </c>
      <c r="I97" s="12" t="s">
        <v>3</v>
      </c>
      <c r="J97" s="42">
        <v>0.68</v>
      </c>
      <c r="K97" s="78"/>
    </row>
    <row r="98" spans="1:11" s="43" customFormat="1" ht="23.25" customHeight="1" x14ac:dyDescent="0.25">
      <c r="A98" s="41"/>
      <c r="B98" s="44" t="s">
        <v>189</v>
      </c>
      <c r="C98" s="13">
        <v>1</v>
      </c>
      <c r="D98" s="45">
        <v>10.23</v>
      </c>
      <c r="E98" s="45"/>
      <c r="F98" s="46"/>
      <c r="G98" s="46"/>
      <c r="H98" s="46"/>
      <c r="I98" s="12" t="s">
        <v>3</v>
      </c>
      <c r="J98" s="42">
        <v>10.23</v>
      </c>
      <c r="K98" s="78"/>
    </row>
    <row r="99" spans="1:11" s="43" customFormat="1" ht="23.25" customHeight="1" x14ac:dyDescent="0.25">
      <c r="A99" s="41" t="s">
        <v>190</v>
      </c>
      <c r="B99" s="44" t="s">
        <v>191</v>
      </c>
      <c r="C99" s="13">
        <v>1</v>
      </c>
      <c r="D99" s="45">
        <v>10.64</v>
      </c>
      <c r="E99" s="45">
        <v>10.28</v>
      </c>
      <c r="F99" s="46"/>
      <c r="G99" s="46"/>
      <c r="H99" s="46"/>
      <c r="I99" s="12" t="s">
        <v>3</v>
      </c>
      <c r="J99" s="42">
        <v>8.64</v>
      </c>
      <c r="K99" s="78"/>
    </row>
    <row r="100" spans="1:11" s="43" customFormat="1" ht="23.25" customHeight="1" x14ac:dyDescent="0.25">
      <c r="A100" s="41" t="s">
        <v>192</v>
      </c>
      <c r="B100" s="44" t="s">
        <v>193</v>
      </c>
      <c r="C100" s="13">
        <v>1</v>
      </c>
      <c r="D100" s="45">
        <v>15.170999999999999</v>
      </c>
      <c r="E100" s="45">
        <v>16.420000000000002</v>
      </c>
      <c r="F100" s="46"/>
      <c r="G100" s="46"/>
      <c r="H100" s="46"/>
      <c r="I100" s="12" t="s">
        <v>3</v>
      </c>
      <c r="J100" s="42">
        <v>15.17</v>
      </c>
      <c r="K100" s="78"/>
    </row>
    <row r="101" spans="1:11" s="43" customFormat="1" ht="23.25" customHeight="1" x14ac:dyDescent="0.25">
      <c r="A101" s="41" t="s">
        <v>194</v>
      </c>
      <c r="B101" s="44" t="s">
        <v>195</v>
      </c>
      <c r="C101" s="13">
        <v>1</v>
      </c>
      <c r="D101" s="45">
        <v>7.7</v>
      </c>
      <c r="E101" s="45">
        <v>8.2989999999999995</v>
      </c>
      <c r="F101" s="46"/>
      <c r="G101" s="46"/>
      <c r="H101" s="46"/>
      <c r="I101" s="12" t="s">
        <v>3</v>
      </c>
      <c r="J101" s="42">
        <v>7.7</v>
      </c>
      <c r="K101" s="78"/>
    </row>
    <row r="102" spans="1:11" s="43" customFormat="1" ht="23.25" customHeight="1" x14ac:dyDescent="0.25">
      <c r="A102" s="41" t="s">
        <v>196</v>
      </c>
      <c r="B102" s="44" t="s">
        <v>197</v>
      </c>
      <c r="C102" s="13">
        <v>1</v>
      </c>
      <c r="D102" s="45">
        <v>6.97</v>
      </c>
      <c r="E102" s="45">
        <v>7.86</v>
      </c>
      <c r="F102" s="46"/>
      <c r="G102" s="46"/>
      <c r="H102" s="46"/>
      <c r="I102" s="12" t="s">
        <v>3</v>
      </c>
      <c r="J102" s="42">
        <v>6.97</v>
      </c>
      <c r="K102" s="78"/>
    </row>
    <row r="103" spans="1:11" s="43" customFormat="1" ht="23.25" customHeight="1" x14ac:dyDescent="0.25">
      <c r="A103" s="41" t="s">
        <v>198</v>
      </c>
      <c r="B103" s="44" t="s">
        <v>199</v>
      </c>
      <c r="C103" s="13">
        <v>1</v>
      </c>
      <c r="D103" s="45">
        <v>0</v>
      </c>
      <c r="E103" s="45"/>
      <c r="F103" s="46"/>
      <c r="G103" s="46"/>
      <c r="H103" s="46"/>
      <c r="I103" s="12" t="s">
        <v>3</v>
      </c>
      <c r="J103" s="42"/>
      <c r="K103" s="78"/>
    </row>
    <row r="104" spans="1:11" s="43" customFormat="1" ht="23.25" customHeight="1" x14ac:dyDescent="0.25">
      <c r="A104" s="57" t="s">
        <v>200</v>
      </c>
      <c r="B104" s="58" t="s">
        <v>201</v>
      </c>
      <c r="C104" s="20">
        <v>1</v>
      </c>
      <c r="D104" s="59"/>
      <c r="E104" s="59"/>
      <c r="F104" s="60"/>
      <c r="G104" s="60">
        <v>1.4</v>
      </c>
      <c r="H104" s="60"/>
      <c r="I104" s="19" t="s">
        <v>916</v>
      </c>
      <c r="J104" s="61">
        <v>1.4</v>
      </c>
      <c r="K104" s="78"/>
    </row>
    <row r="105" spans="1:11" s="43" customFormat="1" ht="23.25" customHeight="1" x14ac:dyDescent="0.25">
      <c r="A105" s="52"/>
      <c r="B105" s="53" t="s">
        <v>202</v>
      </c>
      <c r="C105" s="14">
        <v>1</v>
      </c>
      <c r="D105" s="54"/>
      <c r="E105" s="54"/>
      <c r="F105" s="55">
        <v>3.1</v>
      </c>
      <c r="G105" s="55"/>
      <c r="H105" s="55"/>
      <c r="I105" s="15" t="s">
        <v>918</v>
      </c>
      <c r="J105" s="56">
        <v>3.1</v>
      </c>
      <c r="K105" s="78"/>
    </row>
    <row r="106" spans="1:11" s="43" customFormat="1" ht="23.25" customHeight="1" x14ac:dyDescent="0.25">
      <c r="A106" s="41" t="s">
        <v>203</v>
      </c>
      <c r="B106" s="44" t="s">
        <v>204</v>
      </c>
      <c r="C106" s="13">
        <v>1</v>
      </c>
      <c r="D106" s="45">
        <v>5.5</v>
      </c>
      <c r="E106" s="45"/>
      <c r="F106" s="46"/>
      <c r="G106" s="46"/>
      <c r="H106" s="46"/>
      <c r="I106" s="12" t="s">
        <v>3</v>
      </c>
      <c r="J106" s="42">
        <v>5.5</v>
      </c>
      <c r="K106" s="78"/>
    </row>
    <row r="107" spans="1:11" s="43" customFormat="1" ht="23.25" customHeight="1" x14ac:dyDescent="0.25">
      <c r="A107" s="41" t="s">
        <v>205</v>
      </c>
      <c r="B107" s="44" t="s">
        <v>206</v>
      </c>
      <c r="C107" s="13">
        <v>1</v>
      </c>
      <c r="D107" s="45">
        <v>6.68</v>
      </c>
      <c r="E107" s="45">
        <v>7.891</v>
      </c>
      <c r="F107" s="46"/>
      <c r="G107" s="46"/>
      <c r="H107" s="46"/>
      <c r="I107" s="12" t="s">
        <v>3</v>
      </c>
      <c r="J107" s="42">
        <v>6.68</v>
      </c>
      <c r="K107" s="78"/>
    </row>
    <row r="108" spans="1:11" s="43" customFormat="1" ht="23.25" customHeight="1" x14ac:dyDescent="0.25">
      <c r="A108" s="41" t="s">
        <v>207</v>
      </c>
      <c r="B108" s="44" t="s">
        <v>208</v>
      </c>
      <c r="C108" s="13">
        <v>1</v>
      </c>
      <c r="D108" s="45">
        <v>2.72</v>
      </c>
      <c r="E108" s="45"/>
      <c r="F108" s="46"/>
      <c r="G108" s="46"/>
      <c r="H108" s="46"/>
      <c r="I108" s="12" t="s">
        <v>3</v>
      </c>
      <c r="J108" s="42">
        <v>2.72</v>
      </c>
      <c r="K108" s="78"/>
    </row>
    <row r="109" spans="1:11" s="43" customFormat="1" ht="23.25" customHeight="1" x14ac:dyDescent="0.25">
      <c r="A109" s="41" t="s">
        <v>209</v>
      </c>
      <c r="B109" s="44" t="s">
        <v>210</v>
      </c>
      <c r="C109" s="13">
        <v>1</v>
      </c>
      <c r="D109" s="45">
        <v>2.72</v>
      </c>
      <c r="E109" s="45"/>
      <c r="F109" s="46"/>
      <c r="G109" s="46"/>
      <c r="H109" s="46"/>
      <c r="I109" s="12" t="s">
        <v>3</v>
      </c>
      <c r="J109" s="42">
        <v>2.72</v>
      </c>
      <c r="K109" s="78"/>
    </row>
    <row r="110" spans="1:11" s="43" customFormat="1" ht="23.25" customHeight="1" x14ac:dyDescent="0.25">
      <c r="A110" s="41" t="s">
        <v>211</v>
      </c>
      <c r="B110" s="44" t="s">
        <v>212</v>
      </c>
      <c r="C110" s="13">
        <v>1</v>
      </c>
      <c r="D110" s="45">
        <v>8.24</v>
      </c>
      <c r="E110" s="45"/>
      <c r="F110" s="46"/>
      <c r="G110" s="46"/>
      <c r="H110" s="46"/>
      <c r="I110" s="12" t="s">
        <v>3</v>
      </c>
      <c r="J110" s="42">
        <v>8.24</v>
      </c>
      <c r="K110" s="78"/>
    </row>
    <row r="111" spans="1:11" s="43" customFormat="1" ht="23.25" customHeight="1" x14ac:dyDescent="0.25">
      <c r="A111" s="57" t="s">
        <v>213</v>
      </c>
      <c r="B111" s="58" t="s">
        <v>214</v>
      </c>
      <c r="C111" s="20">
        <v>1</v>
      </c>
      <c r="D111" s="59"/>
      <c r="E111" s="59"/>
      <c r="F111" s="60"/>
      <c r="G111" s="60">
        <v>1.8</v>
      </c>
      <c r="H111" s="60"/>
      <c r="I111" s="19" t="s">
        <v>916</v>
      </c>
      <c r="J111" s="61">
        <v>1.8</v>
      </c>
      <c r="K111" s="78"/>
    </row>
    <row r="112" spans="1:11" s="43" customFormat="1" ht="23.25" customHeight="1" x14ac:dyDescent="0.25">
      <c r="A112"/>
      <c r="B112" s="2" t="s">
        <v>215</v>
      </c>
      <c r="C112" s="3">
        <v>100</v>
      </c>
      <c r="D112" s="4"/>
      <c r="E112" s="4"/>
      <c r="F112" s="5"/>
      <c r="G112" s="5"/>
      <c r="H112" s="5"/>
      <c r="I112" s="8" t="s">
        <v>3</v>
      </c>
      <c r="J112" s="1">
        <v>4.62</v>
      </c>
      <c r="K112" s="78"/>
    </row>
    <row r="113" spans="1:11" s="43" customFormat="1" ht="23.25" customHeight="1" x14ac:dyDescent="0.25">
      <c r="A113" s="41" t="s">
        <v>216</v>
      </c>
      <c r="B113" s="44" t="s">
        <v>217</v>
      </c>
      <c r="C113" s="13">
        <v>10</v>
      </c>
      <c r="D113" s="45">
        <v>16.021999999999998</v>
      </c>
      <c r="E113" s="45">
        <v>7.01</v>
      </c>
      <c r="F113" s="46"/>
      <c r="G113" s="46"/>
      <c r="H113" s="46"/>
      <c r="I113" s="12" t="s">
        <v>3</v>
      </c>
      <c r="J113" s="42">
        <v>16.02</v>
      </c>
      <c r="K113" s="78"/>
    </row>
    <row r="114" spans="1:11" s="43" customFormat="1" ht="23.25" customHeight="1" x14ac:dyDescent="0.25">
      <c r="A114" s="41" t="s">
        <v>218</v>
      </c>
      <c r="B114" s="44" t="s">
        <v>219</v>
      </c>
      <c r="C114" s="13">
        <v>10</v>
      </c>
      <c r="D114" s="45">
        <v>10.85</v>
      </c>
      <c r="E114" s="45">
        <v>12.837999999999999</v>
      </c>
      <c r="F114" s="46"/>
      <c r="G114" s="46"/>
      <c r="H114" s="46"/>
      <c r="I114" s="12" t="s">
        <v>3</v>
      </c>
      <c r="J114" s="42">
        <v>10.85</v>
      </c>
      <c r="K114" s="78"/>
    </row>
    <row r="115" spans="1:11" s="43" customFormat="1" ht="23.25" customHeight="1" x14ac:dyDescent="0.25">
      <c r="A115" s="104" t="s">
        <v>220</v>
      </c>
      <c r="B115" s="105" t="s">
        <v>221</v>
      </c>
      <c r="C115" s="106">
        <v>50</v>
      </c>
      <c r="D115" s="107">
        <v>5.6859999999999999</v>
      </c>
      <c r="E115" s="107">
        <v>3.02</v>
      </c>
      <c r="F115" s="108"/>
      <c r="G115" s="108"/>
      <c r="H115" s="108">
        <f>2.55/2</f>
        <v>1.2749999999999999</v>
      </c>
      <c r="I115" s="109" t="s">
        <v>910</v>
      </c>
      <c r="J115" s="110">
        <v>1.28</v>
      </c>
      <c r="K115" s="78"/>
    </row>
    <row r="116" spans="1:11" s="43" customFormat="1" ht="23.25" customHeight="1" x14ac:dyDescent="0.25">
      <c r="A116" s="41" t="s">
        <v>222</v>
      </c>
      <c r="B116" s="44" t="s">
        <v>223</v>
      </c>
      <c r="C116" s="13">
        <v>10</v>
      </c>
      <c r="D116" s="45">
        <v>12.78</v>
      </c>
      <c r="E116" s="45">
        <f>6.56*10</f>
        <v>65.599999999999994</v>
      </c>
      <c r="F116" s="46"/>
      <c r="G116" s="46"/>
      <c r="H116" s="46"/>
      <c r="I116" s="12" t="s">
        <v>3</v>
      </c>
      <c r="J116" s="42">
        <v>12.78</v>
      </c>
      <c r="K116" s="78"/>
    </row>
    <row r="117" spans="1:11" s="43" customFormat="1" ht="23.25" customHeight="1" x14ac:dyDescent="0.25">
      <c r="A117" s="47" t="s">
        <v>224</v>
      </c>
      <c r="B117" s="48" t="s">
        <v>225</v>
      </c>
      <c r="C117" s="16">
        <v>5</v>
      </c>
      <c r="D117" s="49">
        <v>73.45</v>
      </c>
      <c r="E117" s="49">
        <f>13.06*5</f>
        <v>65.3</v>
      </c>
      <c r="F117" s="50"/>
      <c r="G117" s="50"/>
      <c r="H117" s="50"/>
      <c r="I117" s="17" t="s">
        <v>913</v>
      </c>
      <c r="J117" s="51">
        <v>65.3</v>
      </c>
      <c r="K117" s="78"/>
    </row>
    <row r="118" spans="1:11" s="43" customFormat="1" ht="23.25" customHeight="1" x14ac:dyDescent="0.25">
      <c r="A118" s="41"/>
      <c r="B118" s="44" t="s">
        <v>226</v>
      </c>
      <c r="C118" s="13">
        <v>50</v>
      </c>
      <c r="D118" s="45">
        <v>4.0999999999999996</v>
      </c>
      <c r="E118" s="45"/>
      <c r="F118" s="46"/>
      <c r="G118" s="46"/>
      <c r="H118" s="46"/>
      <c r="I118" s="12" t="s">
        <v>3</v>
      </c>
      <c r="J118" s="42">
        <v>4.0999999999999996</v>
      </c>
      <c r="K118" s="78"/>
    </row>
    <row r="119" spans="1:11" s="43" customFormat="1" ht="23.25" customHeight="1" x14ac:dyDescent="0.25">
      <c r="A119" s="41" t="s">
        <v>227</v>
      </c>
      <c r="B119" s="44" t="s">
        <v>228</v>
      </c>
      <c r="C119" s="13">
        <v>1</v>
      </c>
      <c r="D119" s="45">
        <v>3.02</v>
      </c>
      <c r="E119" s="45">
        <v>5.21</v>
      </c>
      <c r="F119" s="173">
        <v>3.11</v>
      </c>
      <c r="G119" s="46"/>
      <c r="H119" s="46">
        <v>3.15</v>
      </c>
      <c r="I119" s="12" t="s">
        <v>3</v>
      </c>
      <c r="J119" s="42">
        <v>3.02</v>
      </c>
      <c r="K119" s="78"/>
    </row>
    <row r="120" spans="1:11" s="43" customFormat="1" ht="23.25" customHeight="1" x14ac:dyDescent="0.25">
      <c r="A120" s="104" t="s">
        <v>229</v>
      </c>
      <c r="B120" s="105" t="s">
        <v>230</v>
      </c>
      <c r="C120" s="106">
        <v>50</v>
      </c>
      <c r="D120" s="107">
        <v>3.5</v>
      </c>
      <c r="E120" s="107">
        <v>3.1629999999999998</v>
      </c>
      <c r="F120" s="108"/>
      <c r="G120" s="108"/>
      <c r="H120" s="108">
        <v>3.57</v>
      </c>
      <c r="I120" s="109" t="s">
        <v>910</v>
      </c>
      <c r="J120" s="110">
        <v>3.27</v>
      </c>
      <c r="K120" s="78"/>
    </row>
    <row r="121" spans="1:11" s="43" customFormat="1" ht="23.25" customHeight="1" x14ac:dyDescent="0.25">
      <c r="A121" s="47" t="s">
        <v>231</v>
      </c>
      <c r="B121" s="48" t="s">
        <v>232</v>
      </c>
      <c r="C121" s="16">
        <v>1</v>
      </c>
      <c r="D121" s="49">
        <v>8.5709999999999997</v>
      </c>
      <c r="E121" s="49">
        <v>7.34</v>
      </c>
      <c r="F121" s="50"/>
      <c r="G121" s="50"/>
      <c r="H121" s="50"/>
      <c r="I121" s="17" t="s">
        <v>913</v>
      </c>
      <c r="J121" s="51">
        <v>7.34</v>
      </c>
      <c r="K121" s="78"/>
    </row>
    <row r="122" spans="1:11" s="43" customFormat="1" ht="23.25" customHeight="1" x14ac:dyDescent="0.25">
      <c r="A122" s="47" t="s">
        <v>233</v>
      </c>
      <c r="B122" s="48" t="s">
        <v>234</v>
      </c>
      <c r="C122" s="16">
        <v>1</v>
      </c>
      <c r="D122" s="49"/>
      <c r="E122" s="49">
        <v>7.9909999999999997</v>
      </c>
      <c r="F122" s="50"/>
      <c r="G122" s="50"/>
      <c r="H122" s="50"/>
      <c r="I122" s="17" t="s">
        <v>913</v>
      </c>
      <c r="J122" s="51">
        <v>7.99</v>
      </c>
      <c r="K122" s="78"/>
    </row>
    <row r="123" spans="1:11" s="43" customFormat="1" ht="23.25" customHeight="1" x14ac:dyDescent="0.25">
      <c r="A123" s="47" t="s">
        <v>235</v>
      </c>
      <c r="B123" s="48" t="s">
        <v>236</v>
      </c>
      <c r="C123" s="16">
        <v>1</v>
      </c>
      <c r="D123" s="49"/>
      <c r="E123" s="49">
        <f>8.361*5</f>
        <v>41.805000000000007</v>
      </c>
      <c r="F123" s="50"/>
      <c r="G123" s="50"/>
      <c r="H123" s="50"/>
      <c r="I123" s="17" t="s">
        <v>913</v>
      </c>
      <c r="J123" s="51">
        <v>41.81</v>
      </c>
      <c r="K123" s="78"/>
    </row>
    <row r="124" spans="1:11" s="43" customFormat="1" ht="23.25" customHeight="1" x14ac:dyDescent="0.25">
      <c r="A124" s="52" t="s">
        <v>237</v>
      </c>
      <c r="B124" s="53" t="s">
        <v>238</v>
      </c>
      <c r="C124" s="14">
        <v>1</v>
      </c>
      <c r="D124" s="54">
        <v>5.2830000000000004</v>
      </c>
      <c r="E124" s="54">
        <v>5.12</v>
      </c>
      <c r="F124" s="55">
        <v>4.5999999999999996</v>
      </c>
      <c r="G124" s="55"/>
      <c r="H124" s="55">
        <v>5.09</v>
      </c>
      <c r="I124" s="15" t="s">
        <v>918</v>
      </c>
      <c r="J124" s="56">
        <v>4.5999999999999996</v>
      </c>
      <c r="K124" s="78"/>
    </row>
    <row r="125" spans="1:11" s="43" customFormat="1" ht="23.25" customHeight="1" x14ac:dyDescent="0.25">
      <c r="A125" s="52" t="s">
        <v>227</v>
      </c>
      <c r="B125" s="53" t="s">
        <v>239</v>
      </c>
      <c r="C125" s="14">
        <v>1</v>
      </c>
      <c r="D125" s="54"/>
      <c r="E125" s="54"/>
      <c r="F125" s="62">
        <v>3.75</v>
      </c>
      <c r="G125" s="55"/>
      <c r="H125" s="55">
        <v>4.29</v>
      </c>
      <c r="I125" s="15" t="s">
        <v>918</v>
      </c>
      <c r="J125" s="56">
        <v>3.75</v>
      </c>
      <c r="K125" s="78"/>
    </row>
    <row r="126" spans="1:11" s="43" customFormat="1" ht="23.25" customHeight="1" x14ac:dyDescent="0.25">
      <c r="A126" s="52" t="s">
        <v>240</v>
      </c>
      <c r="B126" s="53" t="s">
        <v>241</v>
      </c>
      <c r="C126" s="14">
        <v>1</v>
      </c>
      <c r="D126" s="54">
        <v>3.49</v>
      </c>
      <c r="E126" s="54">
        <v>3.22</v>
      </c>
      <c r="F126" s="55">
        <v>2.75</v>
      </c>
      <c r="G126" s="55"/>
      <c r="H126" s="55">
        <v>3</v>
      </c>
      <c r="I126" s="15" t="s">
        <v>918</v>
      </c>
      <c r="J126" s="56">
        <v>2.75</v>
      </c>
      <c r="K126" s="78"/>
    </row>
    <row r="127" spans="1:11" s="43" customFormat="1" ht="23.25" customHeight="1" x14ac:dyDescent="0.25">
      <c r="A127" s="47" t="s">
        <v>242</v>
      </c>
      <c r="B127" s="48" t="s">
        <v>243</v>
      </c>
      <c r="C127" s="16">
        <v>1</v>
      </c>
      <c r="D127" s="49">
        <v>4.3499999999999996</v>
      </c>
      <c r="E127" s="49">
        <v>3.93</v>
      </c>
      <c r="F127" s="50">
        <v>3.92</v>
      </c>
      <c r="G127" s="50"/>
      <c r="H127" s="50">
        <v>3.95</v>
      </c>
      <c r="I127" s="17" t="s">
        <v>918</v>
      </c>
      <c r="J127" s="51">
        <v>3.92</v>
      </c>
      <c r="K127" s="78"/>
    </row>
    <row r="128" spans="1:11" s="43" customFormat="1" ht="23.25" customHeight="1" x14ac:dyDescent="0.25">
      <c r="A128" s="41" t="s">
        <v>244</v>
      </c>
      <c r="B128" s="44" t="s">
        <v>245</v>
      </c>
      <c r="C128" s="13">
        <v>1</v>
      </c>
      <c r="D128" s="45">
        <v>62.5</v>
      </c>
      <c r="E128" s="45">
        <f>3.09*25</f>
        <v>77.25</v>
      </c>
      <c r="F128" s="46"/>
      <c r="G128" s="46"/>
      <c r="H128" s="46"/>
      <c r="I128" s="12" t="s">
        <v>3</v>
      </c>
      <c r="J128" s="42">
        <v>62.5</v>
      </c>
      <c r="K128" s="78"/>
    </row>
    <row r="129" spans="1:11" s="43" customFormat="1" ht="23.25" customHeight="1" x14ac:dyDescent="0.25">
      <c r="A129" s="95" t="s">
        <v>246</v>
      </c>
      <c r="B129" s="98" t="s">
        <v>247</v>
      </c>
      <c r="C129" s="99">
        <v>1</v>
      </c>
      <c r="D129" s="100"/>
      <c r="E129" s="100"/>
      <c r="F129" s="101"/>
      <c r="G129" s="101">
        <f>+OUTILS!P18</f>
        <v>0.97750000000000004</v>
      </c>
      <c r="H129" s="101"/>
      <c r="I129" s="96" t="s">
        <v>919</v>
      </c>
      <c r="J129" s="97">
        <f>+G129</f>
        <v>0.97750000000000004</v>
      </c>
      <c r="K129" s="78"/>
    </row>
    <row r="130" spans="1:11" s="43" customFormat="1" ht="23.25" customHeight="1" x14ac:dyDescent="0.25">
      <c r="A130" s="95"/>
      <c r="B130" s="98" t="s">
        <v>248</v>
      </c>
      <c r="C130" s="99">
        <v>1</v>
      </c>
      <c r="D130" s="100"/>
      <c r="E130" s="100"/>
      <c r="F130" s="101"/>
      <c r="G130" s="101">
        <f>+OUTILS!P18</f>
        <v>0.97750000000000004</v>
      </c>
      <c r="H130" s="101"/>
      <c r="I130" s="96" t="s">
        <v>919</v>
      </c>
      <c r="J130" s="97">
        <f>+G130</f>
        <v>0.97750000000000004</v>
      </c>
      <c r="K130" s="78"/>
    </row>
    <row r="131" spans="1:11" s="43" customFormat="1" ht="23.25" customHeight="1" x14ac:dyDescent="0.25">
      <c r="A131" s="95"/>
      <c r="B131" s="98" t="s">
        <v>249</v>
      </c>
      <c r="C131" s="99">
        <v>1</v>
      </c>
      <c r="D131" s="100"/>
      <c r="E131" s="100"/>
      <c r="F131" s="101"/>
      <c r="G131" s="101">
        <f>+OUTILS!P40</f>
        <v>1.9675</v>
      </c>
      <c r="H131" s="101"/>
      <c r="I131" s="96" t="s">
        <v>919</v>
      </c>
      <c r="J131" s="97">
        <f>+G131</f>
        <v>1.9675</v>
      </c>
      <c r="K131" s="78"/>
    </row>
    <row r="132" spans="1:11" s="43" customFormat="1" ht="23.25" customHeight="1" x14ac:dyDescent="0.25">
      <c r="A132" s="41" t="s">
        <v>250</v>
      </c>
      <c r="B132" s="44" t="s">
        <v>251</v>
      </c>
      <c r="C132" s="13">
        <v>10</v>
      </c>
      <c r="D132" s="45">
        <f>36.9/10</f>
        <v>3.69</v>
      </c>
      <c r="E132" s="45">
        <v>3.88</v>
      </c>
      <c r="F132" s="46"/>
      <c r="G132" s="46"/>
      <c r="H132" s="46"/>
      <c r="I132" s="12" t="s">
        <v>3</v>
      </c>
      <c r="J132" s="42">
        <v>3.69</v>
      </c>
      <c r="K132" s="78"/>
    </row>
    <row r="133" spans="1:11" s="43" customFormat="1" ht="23.25" customHeight="1" x14ac:dyDescent="0.25">
      <c r="A133" s="52" t="s">
        <v>252</v>
      </c>
      <c r="B133" s="53" t="s">
        <v>253</v>
      </c>
      <c r="C133" s="14">
        <v>1</v>
      </c>
      <c r="D133" s="54">
        <v>2.9</v>
      </c>
      <c r="E133" s="54">
        <v>2.903</v>
      </c>
      <c r="F133" s="55">
        <v>2.69</v>
      </c>
      <c r="G133" s="55"/>
      <c r="H133" s="55"/>
      <c r="I133" s="15" t="s">
        <v>918</v>
      </c>
      <c r="J133" s="56">
        <v>2.69</v>
      </c>
      <c r="K133" s="78"/>
    </row>
    <row r="134" spans="1:11" s="43" customFormat="1" ht="23.25" customHeight="1" x14ac:dyDescent="0.25">
      <c r="A134" s="47" t="s">
        <v>254</v>
      </c>
      <c r="B134" s="48" t="s">
        <v>255</v>
      </c>
      <c r="C134" s="16"/>
      <c r="D134" s="49">
        <v>3.79</v>
      </c>
      <c r="E134" s="49">
        <v>3.48</v>
      </c>
      <c r="F134" s="50"/>
      <c r="G134" s="50"/>
      <c r="H134" s="50"/>
      <c r="I134" s="17" t="s">
        <v>913</v>
      </c>
      <c r="J134" s="51">
        <v>3.48</v>
      </c>
      <c r="K134" s="78"/>
    </row>
    <row r="135" spans="1:11" s="43" customFormat="1" ht="23.25" customHeight="1" x14ac:dyDescent="0.25">
      <c r="A135" s="41" t="s">
        <v>256</v>
      </c>
      <c r="B135" s="44" t="s">
        <v>257</v>
      </c>
      <c r="C135" s="13">
        <v>1</v>
      </c>
      <c r="D135" s="45">
        <v>6.6669999999999998</v>
      </c>
      <c r="E135" s="45">
        <v>8.14</v>
      </c>
      <c r="F135" s="46"/>
      <c r="G135" s="46"/>
      <c r="H135" s="46"/>
      <c r="I135" s="12" t="s">
        <v>3</v>
      </c>
      <c r="J135" s="42">
        <v>6.67</v>
      </c>
      <c r="K135" s="78"/>
    </row>
    <row r="136" spans="1:11" s="43" customFormat="1" ht="23.25" customHeight="1" x14ac:dyDescent="0.25">
      <c r="A136" s="41" t="s">
        <v>258</v>
      </c>
      <c r="B136" s="44" t="s">
        <v>259</v>
      </c>
      <c r="C136" s="13">
        <v>1</v>
      </c>
      <c r="D136" s="45">
        <v>47.938000000000002</v>
      </c>
      <c r="E136" s="45">
        <v>55.74</v>
      </c>
      <c r="F136" s="46"/>
      <c r="G136" s="46"/>
      <c r="H136" s="46"/>
      <c r="I136" s="12" t="s">
        <v>3</v>
      </c>
      <c r="J136" s="42">
        <v>46.5</v>
      </c>
      <c r="K136" s="78"/>
    </row>
    <row r="137" spans="1:11" s="43" customFormat="1" ht="23.25" customHeight="1" x14ac:dyDescent="0.25">
      <c r="A137" s="41" t="s">
        <v>260</v>
      </c>
      <c r="B137" s="44" t="s">
        <v>261</v>
      </c>
      <c r="C137" s="13">
        <v>1</v>
      </c>
      <c r="D137" s="45">
        <v>29.024000000000001</v>
      </c>
      <c r="E137" s="126">
        <v>47.01</v>
      </c>
      <c r="F137" s="46"/>
      <c r="G137" s="46"/>
      <c r="H137" s="46"/>
      <c r="I137" s="12" t="s">
        <v>3</v>
      </c>
      <c r="J137" s="42">
        <v>31.93</v>
      </c>
      <c r="K137" s="78"/>
    </row>
    <row r="138" spans="1:11" s="43" customFormat="1" ht="23.25" customHeight="1" x14ac:dyDescent="0.25">
      <c r="A138" s="52"/>
      <c r="B138" s="53" t="s">
        <v>262</v>
      </c>
      <c r="C138" s="14">
        <v>0.5</v>
      </c>
      <c r="D138" s="54"/>
      <c r="E138" s="54"/>
      <c r="F138" s="55">
        <v>15</v>
      </c>
      <c r="G138" s="55"/>
      <c r="H138" s="55"/>
      <c r="I138" s="15" t="s">
        <v>918</v>
      </c>
      <c r="J138" s="56">
        <v>15</v>
      </c>
      <c r="K138" s="78"/>
    </row>
    <row r="139" spans="1:11" s="43" customFormat="1" ht="23.25" customHeight="1" x14ac:dyDescent="0.25">
      <c r="A139" s="41"/>
      <c r="B139" s="44" t="s">
        <v>263</v>
      </c>
      <c r="C139" s="13">
        <v>100</v>
      </c>
      <c r="D139" s="45">
        <v>2.355</v>
      </c>
      <c r="E139" s="45"/>
      <c r="F139" s="46"/>
      <c r="G139" s="46"/>
      <c r="H139" s="46"/>
      <c r="I139" s="12" t="s">
        <v>3</v>
      </c>
      <c r="J139" s="42">
        <v>2.355</v>
      </c>
      <c r="K139" s="78"/>
    </row>
    <row r="140" spans="1:11" s="43" customFormat="1" ht="23.25" customHeight="1" x14ac:dyDescent="0.25">
      <c r="A140" s="41"/>
      <c r="B140" s="44" t="s">
        <v>264</v>
      </c>
      <c r="C140" s="13">
        <v>1</v>
      </c>
      <c r="D140" s="45">
        <v>8.2309999999999999</v>
      </c>
      <c r="E140" s="45"/>
      <c r="F140" s="46"/>
      <c r="G140" s="46"/>
      <c r="H140" s="46"/>
      <c r="I140" s="12" t="s">
        <v>3</v>
      </c>
      <c r="J140" s="42">
        <v>8.2309999999999999</v>
      </c>
      <c r="K140" s="78"/>
    </row>
    <row r="141" spans="1:11" s="43" customFormat="1" ht="23.25" customHeight="1" x14ac:dyDescent="0.25">
      <c r="A141" s="41" t="s">
        <v>265</v>
      </c>
      <c r="B141" s="44" t="s">
        <v>266</v>
      </c>
      <c r="C141" s="13">
        <v>6</v>
      </c>
      <c r="D141" s="45">
        <v>0.19</v>
      </c>
      <c r="E141" s="45"/>
      <c r="F141" s="46"/>
      <c r="G141" s="46"/>
      <c r="H141" s="46">
        <v>0.19500000000000001</v>
      </c>
      <c r="I141" s="12" t="s">
        <v>3</v>
      </c>
      <c r="J141" s="42">
        <v>0.19</v>
      </c>
      <c r="K141" s="78"/>
    </row>
    <row r="142" spans="1:11" s="43" customFormat="1" ht="23.25" customHeight="1" x14ac:dyDescent="0.25">
      <c r="A142" s="47" t="s">
        <v>267</v>
      </c>
      <c r="B142" s="48" t="s">
        <v>268</v>
      </c>
      <c r="C142" s="16">
        <v>1</v>
      </c>
      <c r="D142" s="49">
        <v>8.0500000000000007</v>
      </c>
      <c r="E142" s="49">
        <v>6.32</v>
      </c>
      <c r="F142" s="50">
        <v>6.6</v>
      </c>
      <c r="G142" s="50"/>
      <c r="H142" s="50"/>
      <c r="I142" s="17" t="s">
        <v>913</v>
      </c>
      <c r="J142" s="51">
        <v>6.32</v>
      </c>
      <c r="K142" s="78"/>
    </row>
    <row r="143" spans="1:11" s="43" customFormat="1" ht="23.25" customHeight="1" x14ac:dyDescent="0.25">
      <c r="A143" s="41" t="s">
        <v>269</v>
      </c>
      <c r="B143" s="44" t="s">
        <v>270</v>
      </c>
      <c r="C143" s="13">
        <v>1</v>
      </c>
      <c r="D143" s="45">
        <v>5.95</v>
      </c>
      <c r="E143" s="45">
        <v>9.0030000000000001</v>
      </c>
      <c r="F143" s="46"/>
      <c r="G143" s="46"/>
      <c r="H143" s="46">
        <v>7.2</v>
      </c>
      <c r="I143" s="12" t="s">
        <v>3</v>
      </c>
      <c r="J143" s="42">
        <v>5.95</v>
      </c>
      <c r="K143" s="78"/>
    </row>
    <row r="144" spans="1:11" s="43" customFormat="1" ht="23.25" customHeight="1" x14ac:dyDescent="0.25">
      <c r="A144" s="73" t="s">
        <v>271</v>
      </c>
      <c r="B144" s="74" t="s">
        <v>272</v>
      </c>
      <c r="C144" s="84">
        <v>1</v>
      </c>
      <c r="D144" s="75"/>
      <c r="E144" s="75"/>
      <c r="F144" s="76"/>
      <c r="G144" s="76">
        <v>4.0000000000000001E-3</v>
      </c>
      <c r="H144" s="76"/>
      <c r="I144" s="35" t="s">
        <v>920</v>
      </c>
      <c r="J144" s="77">
        <v>4.0000000000000001E-3</v>
      </c>
      <c r="K144" s="78"/>
    </row>
    <row r="145" spans="1:11" s="43" customFormat="1" ht="23.25" customHeight="1" x14ac:dyDescent="0.25">
      <c r="A145" s="41" t="s">
        <v>273</v>
      </c>
      <c r="B145" s="44" t="s">
        <v>274</v>
      </c>
      <c r="C145" s="13">
        <v>24</v>
      </c>
      <c r="D145" s="45">
        <v>0.15</v>
      </c>
      <c r="E145" s="45">
        <v>0.17399999999999999</v>
      </c>
      <c r="F145" s="46"/>
      <c r="G145" s="46"/>
      <c r="H145" s="46">
        <v>0.155</v>
      </c>
      <c r="I145" s="12" t="s">
        <v>3</v>
      </c>
      <c r="J145" s="42">
        <v>0.15</v>
      </c>
      <c r="K145" s="78"/>
    </row>
    <row r="146" spans="1:11" s="43" customFormat="1" ht="23.25" customHeight="1" x14ac:dyDescent="0.25">
      <c r="A146" s="41" t="s">
        <v>276</v>
      </c>
      <c r="B146" s="44" t="s">
        <v>277</v>
      </c>
      <c r="C146" s="13">
        <v>24</v>
      </c>
      <c r="D146" s="45">
        <v>0.56000000000000005</v>
      </c>
      <c r="E146" s="45"/>
      <c r="F146" s="46"/>
      <c r="G146" s="46"/>
      <c r="H146" s="46"/>
      <c r="I146" s="12" t="s">
        <v>3</v>
      </c>
      <c r="J146" s="42">
        <v>0.66</v>
      </c>
      <c r="K146" s="78"/>
    </row>
    <row r="147" spans="1:11" s="43" customFormat="1" ht="23.25" customHeight="1" x14ac:dyDescent="0.25">
      <c r="A147" s="41" t="s">
        <v>279</v>
      </c>
      <c r="B147" s="44" t="s">
        <v>280</v>
      </c>
      <c r="C147" s="13">
        <v>24</v>
      </c>
      <c r="D147" s="45">
        <v>0.56000000000000005</v>
      </c>
      <c r="E147" s="45"/>
      <c r="F147" s="46"/>
      <c r="G147" s="46"/>
      <c r="H147" s="46"/>
      <c r="I147" s="12" t="s">
        <v>3</v>
      </c>
      <c r="J147" s="42">
        <v>0.65500000000000003</v>
      </c>
      <c r="K147" s="78"/>
    </row>
    <row r="148" spans="1:11" s="43" customFormat="1" ht="23.25" customHeight="1" x14ac:dyDescent="0.25">
      <c r="A148" s="41"/>
      <c r="B148" s="44" t="s">
        <v>281</v>
      </c>
      <c r="C148" s="13">
        <v>0.25</v>
      </c>
      <c r="D148" s="45">
        <v>5.5410000000000004</v>
      </c>
      <c r="E148" s="45"/>
      <c r="F148" s="46"/>
      <c r="G148" s="46"/>
      <c r="H148" s="46"/>
      <c r="I148" s="12" t="s">
        <v>3</v>
      </c>
      <c r="J148" s="42">
        <v>5.5410000000000004</v>
      </c>
      <c r="K148" s="78"/>
    </row>
    <row r="149" spans="1:11" s="43" customFormat="1" ht="23.25" customHeight="1" x14ac:dyDescent="0.25">
      <c r="A149" s="41" t="s">
        <v>282</v>
      </c>
      <c r="B149" s="44" t="s">
        <v>283</v>
      </c>
      <c r="C149" s="13">
        <v>1</v>
      </c>
      <c r="D149" s="45">
        <v>13</v>
      </c>
      <c r="E149" s="45"/>
      <c r="F149" s="46"/>
      <c r="G149" s="46"/>
      <c r="H149" s="46"/>
      <c r="I149" s="12" t="s">
        <v>3</v>
      </c>
      <c r="J149" s="42">
        <v>13</v>
      </c>
      <c r="K149" s="78"/>
    </row>
    <row r="150" spans="1:11" s="43" customFormat="1" ht="23.25" customHeight="1" x14ac:dyDescent="0.25">
      <c r="A150" s="41" t="s">
        <v>284</v>
      </c>
      <c r="B150" s="44" t="s">
        <v>285</v>
      </c>
      <c r="C150" s="13">
        <v>1</v>
      </c>
      <c r="D150" s="45">
        <v>12.4</v>
      </c>
      <c r="E150" s="45">
        <v>17.190000000000001</v>
      </c>
      <c r="F150" s="46"/>
      <c r="G150" s="46"/>
      <c r="H150" s="46"/>
      <c r="I150" s="12" t="s">
        <v>3</v>
      </c>
      <c r="J150" s="42">
        <v>12.4</v>
      </c>
      <c r="K150" s="78"/>
    </row>
    <row r="151" spans="1:11" s="43" customFormat="1" ht="23.25" customHeight="1" x14ac:dyDescent="0.25">
      <c r="A151" s="41" t="s">
        <v>286</v>
      </c>
      <c r="B151" s="44" t="s">
        <v>287</v>
      </c>
      <c r="C151" s="13">
        <v>1</v>
      </c>
      <c r="D151" s="45">
        <v>8</v>
      </c>
      <c r="E151" s="45">
        <v>9.1180000000000003</v>
      </c>
      <c r="F151" s="46">
        <v>9.1999999999999993</v>
      </c>
      <c r="G151" s="46"/>
      <c r="H151" s="46"/>
      <c r="I151" s="12" t="s">
        <v>3</v>
      </c>
      <c r="J151" s="42">
        <v>8</v>
      </c>
      <c r="K151" s="78"/>
    </row>
    <row r="152" spans="1:11" s="43" customFormat="1" ht="23.25" customHeight="1" x14ac:dyDescent="0.25">
      <c r="A152" s="52" t="s">
        <v>288</v>
      </c>
      <c r="B152" s="53" t="s">
        <v>289</v>
      </c>
      <c r="C152" s="14">
        <v>1</v>
      </c>
      <c r="D152" s="54">
        <v>4.45</v>
      </c>
      <c r="E152" s="54">
        <v>5.6059999999999999</v>
      </c>
      <c r="F152" s="55">
        <f>8.2/2</f>
        <v>4.0999999999999996</v>
      </c>
      <c r="G152" s="55"/>
      <c r="H152" s="55"/>
      <c r="I152" s="15" t="s">
        <v>918</v>
      </c>
      <c r="J152" s="56">
        <v>4.0999999999999996</v>
      </c>
      <c r="K152" s="78"/>
    </row>
    <row r="153" spans="1:11" s="43" customFormat="1" ht="23.25" customHeight="1" x14ac:dyDescent="0.25">
      <c r="A153" s="41" t="s">
        <v>290</v>
      </c>
      <c r="B153" s="44" t="s">
        <v>291</v>
      </c>
      <c r="C153" s="13">
        <v>1</v>
      </c>
      <c r="D153" s="45">
        <v>7.4</v>
      </c>
      <c r="E153" s="45">
        <v>8.8279999999999994</v>
      </c>
      <c r="F153" s="46">
        <v>8.8279999999999994</v>
      </c>
      <c r="G153" s="46"/>
      <c r="H153" s="46">
        <v>5.95</v>
      </c>
      <c r="I153" s="12" t="s">
        <v>3</v>
      </c>
      <c r="J153" s="42">
        <v>7.4</v>
      </c>
      <c r="K153" s="78"/>
    </row>
    <row r="154" spans="1:11" s="43" customFormat="1" ht="23.25" customHeight="1" x14ac:dyDescent="0.25">
      <c r="A154" s="41" t="s">
        <v>293</v>
      </c>
      <c r="B154" s="44" t="s">
        <v>294</v>
      </c>
      <c r="C154" s="13">
        <v>1</v>
      </c>
      <c r="D154" s="45">
        <v>6.5</v>
      </c>
      <c r="E154" s="45">
        <v>6.99</v>
      </c>
      <c r="F154" s="46">
        <v>6.75</v>
      </c>
      <c r="G154" s="46"/>
      <c r="H154" s="46"/>
      <c r="I154" s="12" t="s">
        <v>3</v>
      </c>
      <c r="J154" s="42">
        <v>6.5</v>
      </c>
      <c r="K154" s="78"/>
    </row>
    <row r="155" spans="1:11" s="43" customFormat="1" ht="23.25" customHeight="1" x14ac:dyDescent="0.25">
      <c r="A155" s="52" t="s">
        <v>295</v>
      </c>
      <c r="B155" s="53" t="s">
        <v>296</v>
      </c>
      <c r="C155" s="14">
        <v>1</v>
      </c>
      <c r="D155" s="54">
        <v>8.9499999999999993</v>
      </c>
      <c r="E155" s="54">
        <f>4.133*2</f>
        <v>8.266</v>
      </c>
      <c r="F155" s="55">
        <v>7.55</v>
      </c>
      <c r="G155" s="55"/>
      <c r="H155" s="55"/>
      <c r="I155" s="15" t="s">
        <v>918</v>
      </c>
      <c r="J155" s="56">
        <v>0.19</v>
      </c>
      <c r="K155" s="78"/>
    </row>
    <row r="156" spans="1:11" s="43" customFormat="1" ht="23.25" customHeight="1" x14ac:dyDescent="0.25">
      <c r="A156" s="52"/>
      <c r="B156" s="53" t="s">
        <v>297</v>
      </c>
      <c r="C156" s="14">
        <v>0.25</v>
      </c>
      <c r="D156" s="54"/>
      <c r="E156" s="54"/>
      <c r="F156" s="55">
        <v>2.25</v>
      </c>
      <c r="G156" s="55"/>
      <c r="H156" s="55"/>
      <c r="I156" s="15" t="s">
        <v>918</v>
      </c>
      <c r="J156" s="56">
        <v>2.25</v>
      </c>
      <c r="K156" s="78"/>
    </row>
    <row r="157" spans="1:11" s="43" customFormat="1" ht="23.25" customHeight="1" x14ac:dyDescent="0.25">
      <c r="A157" s="104" t="s">
        <v>298</v>
      </c>
      <c r="B157" s="105" t="s">
        <v>299</v>
      </c>
      <c r="C157" s="106">
        <v>6</v>
      </c>
      <c r="D157" s="107">
        <v>2.5</v>
      </c>
      <c r="E157" s="107">
        <v>2.29</v>
      </c>
      <c r="F157" s="108"/>
      <c r="G157" s="108"/>
      <c r="H157" s="108">
        <v>1.65</v>
      </c>
      <c r="I157" s="109" t="s">
        <v>910</v>
      </c>
      <c r="J157" s="110">
        <v>1.65</v>
      </c>
      <c r="K157" s="78"/>
    </row>
    <row r="158" spans="1:11" s="43" customFormat="1" ht="23.25" customHeight="1" x14ac:dyDescent="0.25">
      <c r="A158" s="41" t="s">
        <v>300</v>
      </c>
      <c r="B158" s="44" t="s">
        <v>301</v>
      </c>
      <c r="C158" s="13">
        <v>12</v>
      </c>
      <c r="D158" s="45">
        <v>0.95</v>
      </c>
      <c r="E158" s="45"/>
      <c r="F158" s="46"/>
      <c r="G158" s="46"/>
      <c r="H158" s="46"/>
      <c r="I158" s="12" t="s">
        <v>3</v>
      </c>
      <c r="J158" s="42">
        <v>0.95</v>
      </c>
      <c r="K158" s="78"/>
    </row>
    <row r="159" spans="1:11" s="43" customFormat="1" ht="23.25" customHeight="1" x14ac:dyDescent="0.25">
      <c r="A159" s="41" t="s">
        <v>302</v>
      </c>
      <c r="B159" s="44" t="s">
        <v>303</v>
      </c>
      <c r="C159" s="13">
        <v>12</v>
      </c>
      <c r="D159" s="45">
        <v>0.91</v>
      </c>
      <c r="E159" s="45"/>
      <c r="F159" s="46"/>
      <c r="G159" s="46">
        <v>0.95</v>
      </c>
      <c r="H159" s="46">
        <v>0.95899999999999996</v>
      </c>
      <c r="I159" s="12" t="s">
        <v>3</v>
      </c>
      <c r="J159" s="42">
        <v>0.91</v>
      </c>
      <c r="K159" s="78"/>
    </row>
    <row r="160" spans="1:11" s="43" customFormat="1" ht="23.25" customHeight="1" x14ac:dyDescent="0.25">
      <c r="A160" s="104" t="s">
        <v>304</v>
      </c>
      <c r="B160" s="105" t="s">
        <v>305</v>
      </c>
      <c r="C160" s="106">
        <v>24</v>
      </c>
      <c r="D160" s="107">
        <v>0.63</v>
      </c>
      <c r="E160" s="107"/>
      <c r="F160" s="108"/>
      <c r="G160" s="108">
        <v>0.61</v>
      </c>
      <c r="H160" s="108">
        <v>0.59</v>
      </c>
      <c r="I160" s="109" t="s">
        <v>910</v>
      </c>
      <c r="J160" s="110">
        <v>0.59</v>
      </c>
      <c r="K160" s="78"/>
    </row>
    <row r="161" spans="1:11" s="43" customFormat="1" ht="23.25" customHeight="1" x14ac:dyDescent="0.25">
      <c r="A161" s="41"/>
      <c r="B161" s="44" t="s">
        <v>306</v>
      </c>
      <c r="C161" s="13">
        <v>1</v>
      </c>
      <c r="D161" s="45">
        <v>0.63</v>
      </c>
      <c r="E161" s="45"/>
      <c r="F161" s="46"/>
      <c r="G161" s="46"/>
      <c r="H161" s="46"/>
      <c r="I161" s="12" t="s">
        <v>3</v>
      </c>
      <c r="J161" s="42">
        <v>0.66</v>
      </c>
      <c r="K161" s="78"/>
    </row>
    <row r="162" spans="1:11" s="43" customFormat="1" ht="23.25" customHeight="1" x14ac:dyDescent="0.25">
      <c r="A162" s="63" t="s">
        <v>307</v>
      </c>
      <c r="B162" s="64" t="s">
        <v>308</v>
      </c>
      <c r="C162" s="23">
        <v>25</v>
      </c>
      <c r="D162" s="65"/>
      <c r="E162" s="65"/>
      <c r="F162" s="66"/>
      <c r="G162" s="66">
        <v>1.095</v>
      </c>
      <c r="H162" s="66"/>
      <c r="I162" s="22" t="s">
        <v>921</v>
      </c>
      <c r="J162" s="67">
        <v>1.095</v>
      </c>
      <c r="K162" s="78"/>
    </row>
    <row r="163" spans="1:11" s="43" customFormat="1" ht="23.25" customHeight="1" x14ac:dyDescent="0.25">
      <c r="A163" s="63" t="s">
        <v>309</v>
      </c>
      <c r="B163" s="64" t="s">
        <v>310</v>
      </c>
      <c r="C163" s="23">
        <v>25</v>
      </c>
      <c r="D163" s="65"/>
      <c r="E163" s="65"/>
      <c r="F163" s="66"/>
      <c r="G163" s="66">
        <v>0.995</v>
      </c>
      <c r="H163" s="66"/>
      <c r="I163" s="22" t="s">
        <v>921</v>
      </c>
      <c r="J163" s="67">
        <v>0.995</v>
      </c>
      <c r="K163" s="78"/>
    </row>
    <row r="164" spans="1:11" s="43" customFormat="1" ht="23.25" customHeight="1" x14ac:dyDescent="0.25">
      <c r="A164" s="63" t="s">
        <v>311</v>
      </c>
      <c r="B164" s="64" t="s">
        <v>312</v>
      </c>
      <c r="C164" s="23">
        <v>25</v>
      </c>
      <c r="D164" s="65"/>
      <c r="E164" s="65"/>
      <c r="F164" s="66"/>
      <c r="G164" s="66">
        <v>0.67500000000000004</v>
      </c>
      <c r="H164" s="66"/>
      <c r="I164" s="22" t="s">
        <v>921</v>
      </c>
      <c r="J164" s="67">
        <v>0.67500000000000004</v>
      </c>
      <c r="K164" s="78"/>
    </row>
    <row r="165" spans="1:11" s="43" customFormat="1" ht="23.25" customHeight="1" x14ac:dyDescent="0.25">
      <c r="A165" s="63" t="s">
        <v>313</v>
      </c>
      <c r="B165" s="64" t="s">
        <v>314</v>
      </c>
      <c r="C165" s="23">
        <v>25</v>
      </c>
      <c r="D165" s="65"/>
      <c r="E165" s="65"/>
      <c r="F165" s="66"/>
      <c r="G165" s="66">
        <v>0.70499999999999996</v>
      </c>
      <c r="H165" s="66"/>
      <c r="I165" s="22" t="s">
        <v>921</v>
      </c>
      <c r="J165" s="67">
        <v>0.70499999999999996</v>
      </c>
      <c r="K165" s="78"/>
    </row>
    <row r="166" spans="1:11" s="43" customFormat="1" ht="23.25" customHeight="1" x14ac:dyDescent="0.25">
      <c r="A166" s="63" t="s">
        <v>315</v>
      </c>
      <c r="B166" s="64" t="s">
        <v>316</v>
      </c>
      <c r="C166" s="23">
        <v>25</v>
      </c>
      <c r="D166" s="65"/>
      <c r="E166" s="65"/>
      <c r="F166" s="66"/>
      <c r="G166" s="66">
        <v>0.88500000000000001</v>
      </c>
      <c r="H166" s="66"/>
      <c r="I166" s="22" t="s">
        <v>921</v>
      </c>
      <c r="J166" s="67">
        <v>0.88500000000000001</v>
      </c>
      <c r="K166" s="78"/>
    </row>
    <row r="167" spans="1:11" s="43" customFormat="1" ht="23.25" customHeight="1" x14ac:dyDescent="0.25">
      <c r="A167" s="63" t="s">
        <v>317</v>
      </c>
      <c r="B167" s="64" t="s">
        <v>318</v>
      </c>
      <c r="C167" s="23">
        <v>25</v>
      </c>
      <c r="D167" s="65"/>
      <c r="E167" s="65"/>
      <c r="F167" s="66"/>
      <c r="G167" s="66">
        <v>1.05</v>
      </c>
      <c r="H167" s="66"/>
      <c r="I167" s="22" t="s">
        <v>921</v>
      </c>
      <c r="J167" s="67">
        <v>1.05</v>
      </c>
      <c r="K167" s="78"/>
    </row>
    <row r="168" spans="1:11" s="43" customFormat="1" ht="23.25" customHeight="1" x14ac:dyDescent="0.25">
      <c r="A168" s="63"/>
      <c r="B168" s="64" t="s">
        <v>319</v>
      </c>
      <c r="C168" s="23">
        <v>1</v>
      </c>
      <c r="D168" s="65"/>
      <c r="E168" s="65"/>
      <c r="F168" s="66"/>
      <c r="G168" s="66">
        <v>0.89500000000000002</v>
      </c>
      <c r="H168" s="66"/>
      <c r="I168" s="22" t="s">
        <v>921</v>
      </c>
      <c r="J168" s="67">
        <v>0.89500000000000002</v>
      </c>
      <c r="K168" s="78"/>
    </row>
    <row r="169" spans="1:11" s="43" customFormat="1" ht="23.25" customHeight="1" x14ac:dyDescent="0.25">
      <c r="A169" s="47" t="s">
        <v>320</v>
      </c>
      <c r="B169" s="48" t="s">
        <v>321</v>
      </c>
      <c r="C169" s="16">
        <v>1</v>
      </c>
      <c r="D169" s="49">
        <v>20.5</v>
      </c>
      <c r="E169" s="49">
        <f>14.05*1.3</f>
        <v>18.265000000000001</v>
      </c>
      <c r="F169" s="50">
        <f>(13.95/0.9)*1.3</f>
        <v>20.149999999999999</v>
      </c>
      <c r="G169" s="50"/>
      <c r="H169" s="50"/>
      <c r="I169" s="17" t="s">
        <v>913</v>
      </c>
      <c r="J169" s="51">
        <v>18.27</v>
      </c>
      <c r="K169" s="78"/>
    </row>
    <row r="170" spans="1:11" s="43" customFormat="1" ht="23.25" customHeight="1" x14ac:dyDescent="0.25">
      <c r="A170" s="85" t="s">
        <v>322</v>
      </c>
      <c r="B170" s="88" t="s">
        <v>323</v>
      </c>
      <c r="C170" s="89">
        <v>1</v>
      </c>
      <c r="D170" s="90"/>
      <c r="E170" s="90"/>
      <c r="F170" s="91"/>
      <c r="G170" s="91">
        <f>+OUTILS!H40</f>
        <v>1.6911300174520072</v>
      </c>
      <c r="H170" s="91"/>
      <c r="I170" s="86" t="s">
        <v>919</v>
      </c>
      <c r="J170" s="87">
        <f>+G170</f>
        <v>1.6911300174520072</v>
      </c>
      <c r="K170" s="78"/>
    </row>
    <row r="171" spans="1:11" s="43" customFormat="1" ht="23.25" customHeight="1" x14ac:dyDescent="0.25">
      <c r="A171" s="41" t="s">
        <v>324</v>
      </c>
      <c r="B171" s="44" t="s">
        <v>325</v>
      </c>
      <c r="C171" s="13">
        <v>1</v>
      </c>
      <c r="D171" s="45">
        <v>5.21</v>
      </c>
      <c r="E171" s="45">
        <v>6.15</v>
      </c>
      <c r="F171" s="46"/>
      <c r="G171" s="46"/>
      <c r="H171" s="46"/>
      <c r="I171" s="12" t="s">
        <v>3</v>
      </c>
      <c r="J171" s="42">
        <v>5.21</v>
      </c>
      <c r="K171" s="78"/>
    </row>
    <row r="172" spans="1:11" s="43" customFormat="1" ht="23.25" customHeight="1" x14ac:dyDescent="0.25">
      <c r="A172" s="41"/>
      <c r="B172" s="44" t="s">
        <v>326</v>
      </c>
      <c r="C172" s="13">
        <v>200</v>
      </c>
      <c r="D172" s="45">
        <v>7.6</v>
      </c>
      <c r="E172" s="45"/>
      <c r="F172" s="46"/>
      <c r="G172" s="46"/>
      <c r="H172" s="46"/>
      <c r="I172" s="12" t="s">
        <v>3</v>
      </c>
      <c r="J172" s="42">
        <v>7.6</v>
      </c>
      <c r="K172" s="78"/>
    </row>
    <row r="173" spans="1:11" s="43" customFormat="1" ht="23.25" customHeight="1" x14ac:dyDescent="0.25">
      <c r="A173" s="104" t="s">
        <v>327</v>
      </c>
      <c r="B173" s="105" t="s">
        <v>328</v>
      </c>
      <c r="C173" s="106">
        <v>1</v>
      </c>
      <c r="D173" s="107">
        <v>8.86</v>
      </c>
      <c r="E173" s="107">
        <v>7.4320000000000004</v>
      </c>
      <c r="F173" s="108">
        <v>7.85</v>
      </c>
      <c r="G173" s="108"/>
      <c r="H173" s="108">
        <v>6.99</v>
      </c>
      <c r="I173" s="109" t="s">
        <v>910</v>
      </c>
      <c r="J173" s="110">
        <v>6.99</v>
      </c>
      <c r="K173" s="78"/>
    </row>
    <row r="174" spans="1:11" s="43" customFormat="1" ht="23.25" customHeight="1" x14ac:dyDescent="0.25">
      <c r="A174" s="104" t="s">
        <v>329</v>
      </c>
      <c r="B174" s="105" t="s">
        <v>330</v>
      </c>
      <c r="C174" s="106">
        <v>1000</v>
      </c>
      <c r="D174" s="111">
        <v>3.6999999999999998E-2</v>
      </c>
      <c r="E174" s="111">
        <f>26.032/1000</f>
        <v>2.6032E-2</v>
      </c>
      <c r="F174" s="108"/>
      <c r="G174" s="112"/>
      <c r="H174" s="113">
        <v>1.967E-2</v>
      </c>
      <c r="I174" s="109" t="s">
        <v>910</v>
      </c>
      <c r="J174" s="110">
        <f>+H174</f>
        <v>1.967E-2</v>
      </c>
      <c r="K174" s="78"/>
    </row>
    <row r="175" spans="1:11" s="43" customFormat="1" ht="23.25" customHeight="1" x14ac:dyDescent="0.25">
      <c r="A175" s="47" t="s">
        <v>331</v>
      </c>
      <c r="B175" s="48" t="s">
        <v>332</v>
      </c>
      <c r="C175" s="16">
        <v>1</v>
      </c>
      <c r="D175" s="49">
        <v>24</v>
      </c>
      <c r="E175" s="49">
        <f>3.87*5</f>
        <v>19.350000000000001</v>
      </c>
      <c r="F175" s="50"/>
      <c r="G175" s="50"/>
      <c r="H175" s="50"/>
      <c r="I175" s="17" t="s">
        <v>913</v>
      </c>
      <c r="J175" s="51">
        <v>19.350000000000001</v>
      </c>
      <c r="K175" s="78"/>
    </row>
    <row r="176" spans="1:11" s="43" customFormat="1" ht="23.25" customHeight="1" x14ac:dyDescent="0.25">
      <c r="A176" s="41" t="s">
        <v>333</v>
      </c>
      <c r="B176" s="44" t="s">
        <v>334</v>
      </c>
      <c r="C176" s="13">
        <v>200</v>
      </c>
      <c r="D176" s="45">
        <v>7.8</v>
      </c>
      <c r="E176" s="45">
        <v>8.4260000000000002</v>
      </c>
      <c r="F176" s="46"/>
      <c r="G176" s="46"/>
      <c r="H176" s="46"/>
      <c r="I176" s="12" t="s">
        <v>3</v>
      </c>
      <c r="J176" s="42">
        <v>7.8</v>
      </c>
      <c r="K176" s="78"/>
    </row>
    <row r="177" spans="1:11" s="43" customFormat="1" ht="23.25" customHeight="1" x14ac:dyDescent="0.25">
      <c r="A177" s="41" t="s">
        <v>335</v>
      </c>
      <c r="B177" s="44" t="s">
        <v>336</v>
      </c>
      <c r="C177" s="13">
        <v>1</v>
      </c>
      <c r="D177" s="45">
        <v>2.5</v>
      </c>
      <c r="E177" s="45">
        <v>3.46</v>
      </c>
      <c r="F177" s="46"/>
      <c r="G177" s="46"/>
      <c r="H177" s="46"/>
      <c r="I177" s="12" t="s">
        <v>3</v>
      </c>
      <c r="J177" s="42">
        <v>2.5</v>
      </c>
      <c r="K177" s="78"/>
    </row>
    <row r="178" spans="1:11" s="43" customFormat="1" ht="23.25" customHeight="1" x14ac:dyDescent="0.25">
      <c r="A178" s="47" t="s">
        <v>337</v>
      </c>
      <c r="B178" s="48" t="s">
        <v>338</v>
      </c>
      <c r="C178" s="16">
        <v>1</v>
      </c>
      <c r="D178" s="49">
        <f>37.5/15</f>
        <v>2.5</v>
      </c>
      <c r="E178" s="49">
        <v>1.496</v>
      </c>
      <c r="F178" s="50"/>
      <c r="G178" s="50"/>
      <c r="H178" s="50"/>
      <c r="I178" s="17" t="s">
        <v>913</v>
      </c>
      <c r="J178" s="51">
        <v>1.83</v>
      </c>
      <c r="K178" s="78"/>
    </row>
    <row r="179" spans="1:11" s="43" customFormat="1" ht="23.25" customHeight="1" x14ac:dyDescent="0.25">
      <c r="A179" s="95"/>
      <c r="B179" s="98" t="s">
        <v>339</v>
      </c>
      <c r="C179" s="99">
        <v>1</v>
      </c>
      <c r="D179" s="100"/>
      <c r="E179" s="100"/>
      <c r="F179" s="101"/>
      <c r="G179" s="101">
        <f>+OUTILS!D62</f>
        <v>2.38</v>
      </c>
      <c r="H179" s="101"/>
      <c r="I179" s="96" t="s">
        <v>919</v>
      </c>
      <c r="J179" s="97">
        <f>+G179</f>
        <v>2.38</v>
      </c>
      <c r="K179" s="78"/>
    </row>
    <row r="180" spans="1:11" s="43" customFormat="1" ht="23.25" customHeight="1" x14ac:dyDescent="0.25">
      <c r="A180" s="41" t="s">
        <v>340</v>
      </c>
      <c r="B180" s="44" t="s">
        <v>341</v>
      </c>
      <c r="C180" s="13">
        <v>1</v>
      </c>
      <c r="D180" s="45">
        <v>82.09</v>
      </c>
      <c r="E180" s="45">
        <f>17.46*5</f>
        <v>87.300000000000011</v>
      </c>
      <c r="F180" s="46"/>
      <c r="G180" s="46"/>
      <c r="H180" s="46"/>
      <c r="I180" s="12" t="s">
        <v>3</v>
      </c>
      <c r="J180" s="42">
        <v>82.09</v>
      </c>
      <c r="K180" s="78"/>
    </row>
    <row r="181" spans="1:11" s="43" customFormat="1" ht="23.25" customHeight="1" x14ac:dyDescent="0.25">
      <c r="A181" s="41" t="s">
        <v>342</v>
      </c>
      <c r="B181" s="44" t="s">
        <v>343</v>
      </c>
      <c r="C181" s="13">
        <v>1</v>
      </c>
      <c r="D181" s="45">
        <v>27</v>
      </c>
      <c r="E181" s="45">
        <f>7.02*6</f>
        <v>42.12</v>
      </c>
      <c r="F181" s="46"/>
      <c r="G181" s="46"/>
      <c r="H181" s="46"/>
      <c r="I181" s="12" t="s">
        <v>3</v>
      </c>
      <c r="J181" s="42">
        <v>27</v>
      </c>
      <c r="K181" s="78"/>
    </row>
    <row r="182" spans="1:11" s="43" customFormat="1" ht="23.25" customHeight="1" x14ac:dyDescent="0.25">
      <c r="A182" s="41"/>
      <c r="B182" s="44" t="s">
        <v>344</v>
      </c>
      <c r="C182" s="13">
        <v>210</v>
      </c>
      <c r="D182" s="45">
        <v>11.154999999999999</v>
      </c>
      <c r="E182" s="45"/>
      <c r="F182" s="46"/>
      <c r="G182" s="46"/>
      <c r="H182" s="46"/>
      <c r="I182" s="12" t="s">
        <v>3</v>
      </c>
      <c r="J182" s="42">
        <v>11.154999999999999</v>
      </c>
      <c r="K182" s="78"/>
    </row>
    <row r="183" spans="1:11" s="43" customFormat="1" ht="23.25" customHeight="1" x14ac:dyDescent="0.25">
      <c r="A183" s="57" t="s">
        <v>345</v>
      </c>
      <c r="B183" s="58" t="s">
        <v>346</v>
      </c>
      <c r="C183" s="20">
        <v>1</v>
      </c>
      <c r="D183" s="59"/>
      <c r="E183" s="59"/>
      <c r="F183" s="60"/>
      <c r="G183" s="60">
        <v>8.6</v>
      </c>
      <c r="H183" s="60"/>
      <c r="I183" s="19" t="s">
        <v>916</v>
      </c>
      <c r="J183" s="61">
        <v>8.6</v>
      </c>
      <c r="K183" s="78"/>
    </row>
    <row r="184" spans="1:11" s="43" customFormat="1" ht="23.25" customHeight="1" x14ac:dyDescent="0.25">
      <c r="A184" s="41" t="s">
        <v>347</v>
      </c>
      <c r="B184" s="44" t="s">
        <v>348</v>
      </c>
      <c r="C184" s="13">
        <v>1</v>
      </c>
      <c r="D184" s="45">
        <v>5.0510000000000002</v>
      </c>
      <c r="E184" s="45">
        <v>7.6</v>
      </c>
      <c r="F184" s="46"/>
      <c r="G184" s="46"/>
      <c r="H184" s="46"/>
      <c r="I184" s="12" t="s">
        <v>3</v>
      </c>
      <c r="J184" s="42">
        <v>5.05</v>
      </c>
      <c r="K184" s="78"/>
    </row>
    <row r="185" spans="1:11" s="43" customFormat="1" ht="23.25" customHeight="1" x14ac:dyDescent="0.25">
      <c r="A185" s="104"/>
      <c r="B185" s="105" t="s">
        <v>349</v>
      </c>
      <c r="C185" s="106">
        <v>1</v>
      </c>
      <c r="D185" s="107">
        <v>6.8179999999999996</v>
      </c>
      <c r="E185" s="107"/>
      <c r="F185" s="108"/>
      <c r="G185" s="108"/>
      <c r="H185" s="108">
        <v>5.89</v>
      </c>
      <c r="I185" s="109" t="s">
        <v>910</v>
      </c>
      <c r="J185" s="110">
        <v>5.89</v>
      </c>
      <c r="K185" s="78"/>
    </row>
    <row r="186" spans="1:11" s="43" customFormat="1" ht="23.25" customHeight="1" x14ac:dyDescent="0.25">
      <c r="A186" s="47" t="s">
        <v>350</v>
      </c>
      <c r="B186" s="48" t="s">
        <v>351</v>
      </c>
      <c r="C186" s="16">
        <v>1</v>
      </c>
      <c r="D186" s="49"/>
      <c r="E186" s="49">
        <v>5.5049999999999999</v>
      </c>
      <c r="F186" s="50"/>
      <c r="G186" s="50"/>
      <c r="H186" s="50"/>
      <c r="I186" s="17" t="s">
        <v>913</v>
      </c>
      <c r="J186" s="51">
        <v>5.51</v>
      </c>
      <c r="K186" s="78"/>
    </row>
    <row r="187" spans="1:11" s="43" customFormat="1" ht="23.25" customHeight="1" x14ac:dyDescent="0.25">
      <c r="A187" s="47" t="s">
        <v>352</v>
      </c>
      <c r="B187" s="48" t="s">
        <v>353</v>
      </c>
      <c r="C187" s="16">
        <v>1</v>
      </c>
      <c r="D187" s="49"/>
      <c r="E187" s="49">
        <v>7.7009999999999996</v>
      </c>
      <c r="F187" s="50"/>
      <c r="G187" s="50"/>
      <c r="H187" s="50"/>
      <c r="I187" s="17" t="s">
        <v>913</v>
      </c>
      <c r="J187" s="51">
        <v>7.7</v>
      </c>
      <c r="K187" s="78"/>
    </row>
    <row r="188" spans="1:11" s="43" customFormat="1" ht="23.25" customHeight="1" x14ac:dyDescent="0.25">
      <c r="A188" s="57" t="s">
        <v>354</v>
      </c>
      <c r="B188" s="58" t="s">
        <v>355</v>
      </c>
      <c r="C188" s="20">
        <v>1</v>
      </c>
      <c r="D188" s="59"/>
      <c r="E188" s="59"/>
      <c r="F188" s="60"/>
      <c r="G188" s="60">
        <v>3.2</v>
      </c>
      <c r="H188" s="60"/>
      <c r="I188" s="19" t="s">
        <v>916</v>
      </c>
      <c r="J188" s="61">
        <v>3.2</v>
      </c>
      <c r="K188" s="78"/>
    </row>
    <row r="189" spans="1:11" s="43" customFormat="1" ht="23.25" customHeight="1" x14ac:dyDescent="0.25">
      <c r="A189" s="47" t="s">
        <v>356</v>
      </c>
      <c r="B189" s="48" t="s">
        <v>357</v>
      </c>
      <c r="C189" s="16">
        <v>1</v>
      </c>
      <c r="D189" s="49"/>
      <c r="E189" s="49">
        <v>6.3780000000000001</v>
      </c>
      <c r="F189" s="50"/>
      <c r="G189" s="50"/>
      <c r="H189" s="50"/>
      <c r="I189" s="17" t="s">
        <v>913</v>
      </c>
      <c r="J189" s="51">
        <v>6.38</v>
      </c>
      <c r="K189" s="78"/>
    </row>
    <row r="190" spans="1:11" s="43" customFormat="1" ht="23.25" customHeight="1" x14ac:dyDescent="0.25">
      <c r="A190" s="41" t="s">
        <v>358</v>
      </c>
      <c r="B190" s="44" t="s">
        <v>359</v>
      </c>
      <c r="C190" s="13">
        <v>1</v>
      </c>
      <c r="D190" s="45">
        <v>20.9</v>
      </c>
      <c r="E190" s="45"/>
      <c r="F190" s="46"/>
      <c r="G190" s="46"/>
      <c r="H190" s="46"/>
      <c r="I190" s="12" t="s">
        <v>3</v>
      </c>
      <c r="J190" s="42">
        <v>20.9</v>
      </c>
      <c r="K190" s="78"/>
    </row>
    <row r="191" spans="1:11" s="43" customFormat="1" ht="23.25" customHeight="1" x14ac:dyDescent="0.25">
      <c r="A191" s="104" t="s">
        <v>360</v>
      </c>
      <c r="B191" s="105" t="s">
        <v>349</v>
      </c>
      <c r="C191" s="106" t="s">
        <v>922</v>
      </c>
      <c r="D191" s="107">
        <v>6.8179999999999996</v>
      </c>
      <c r="E191" s="107">
        <v>5.1890000000000001</v>
      </c>
      <c r="F191" s="108"/>
      <c r="G191" s="108"/>
      <c r="H191" s="108">
        <v>4.9000000000000004</v>
      </c>
      <c r="I191" s="109" t="s">
        <v>910</v>
      </c>
      <c r="J191" s="110">
        <v>4.9000000000000004</v>
      </c>
      <c r="K191" s="78"/>
    </row>
    <row r="192" spans="1:11" s="43" customFormat="1" ht="23.25" customHeight="1" x14ac:dyDescent="0.25">
      <c r="A192" s="52" t="s">
        <v>361</v>
      </c>
      <c r="B192" s="53" t="s">
        <v>362</v>
      </c>
      <c r="C192" s="14">
        <v>1</v>
      </c>
      <c r="D192" s="54">
        <v>3.0019999999999998</v>
      </c>
      <c r="E192" s="54">
        <v>2.5470000000000002</v>
      </c>
      <c r="F192" s="55">
        <v>1.79</v>
      </c>
      <c r="G192" s="55"/>
      <c r="H192" s="55">
        <v>1.65</v>
      </c>
      <c r="I192" s="15" t="s">
        <v>918</v>
      </c>
      <c r="J192" s="56">
        <v>1.65</v>
      </c>
      <c r="K192" s="78"/>
    </row>
    <row r="193" spans="1:11" s="43" customFormat="1" ht="23.25" customHeight="1" x14ac:dyDescent="0.25">
      <c r="A193" s="41" t="s">
        <v>363</v>
      </c>
      <c r="B193" s="44" t="s">
        <v>364</v>
      </c>
      <c r="C193" s="13">
        <v>12</v>
      </c>
      <c r="D193" s="45">
        <v>0.8</v>
      </c>
      <c r="E193" s="45"/>
      <c r="F193" s="46"/>
      <c r="G193" s="46"/>
      <c r="H193" s="46">
        <v>0.84499999999999997</v>
      </c>
      <c r="I193" s="12" t="s">
        <v>3</v>
      </c>
      <c r="J193" s="42">
        <v>0.8</v>
      </c>
      <c r="K193" s="78"/>
    </row>
    <row r="194" spans="1:11" s="43" customFormat="1" ht="23.25" customHeight="1" x14ac:dyDescent="0.25">
      <c r="A194" s="104" t="s">
        <v>365</v>
      </c>
      <c r="B194" s="105" t="s">
        <v>366</v>
      </c>
      <c r="C194" s="106">
        <v>24</v>
      </c>
      <c r="D194" s="107">
        <v>0.57999999999999996</v>
      </c>
      <c r="E194" s="107"/>
      <c r="F194" s="108"/>
      <c r="G194" s="108"/>
      <c r="H194" s="108">
        <v>0.54500000000000004</v>
      </c>
      <c r="I194" s="109" t="s">
        <v>910</v>
      </c>
      <c r="J194" s="110">
        <v>0.54500000000000004</v>
      </c>
      <c r="K194" s="78"/>
    </row>
    <row r="195" spans="1:11" s="43" customFormat="1" ht="23.25" customHeight="1" x14ac:dyDescent="0.25">
      <c r="A195" s="52"/>
      <c r="B195" s="53" t="s">
        <v>367</v>
      </c>
      <c r="C195" s="14">
        <v>5</v>
      </c>
      <c r="D195" s="54"/>
      <c r="E195" s="54"/>
      <c r="F195" s="55">
        <v>7.55</v>
      </c>
      <c r="G195" s="55"/>
      <c r="H195" s="55"/>
      <c r="I195" s="15" t="s">
        <v>918</v>
      </c>
      <c r="J195" s="56">
        <v>7.55</v>
      </c>
      <c r="K195" s="78"/>
    </row>
    <row r="196" spans="1:11" s="43" customFormat="1" ht="23.25" customHeight="1" x14ac:dyDescent="0.25">
      <c r="A196" s="52"/>
      <c r="B196" s="53" t="s">
        <v>368</v>
      </c>
      <c r="C196" s="14" t="s">
        <v>923</v>
      </c>
      <c r="D196" s="54"/>
      <c r="E196" s="54"/>
      <c r="F196" s="55">
        <v>7.45</v>
      </c>
      <c r="G196" s="55"/>
      <c r="H196" s="55"/>
      <c r="I196" s="15" t="s">
        <v>918</v>
      </c>
      <c r="J196" s="56">
        <v>7.45</v>
      </c>
      <c r="K196" s="78"/>
    </row>
    <row r="197" spans="1:11" s="43" customFormat="1" ht="23.25" customHeight="1" x14ac:dyDescent="0.25">
      <c r="A197" s="95"/>
      <c r="B197" s="98" t="s">
        <v>369</v>
      </c>
      <c r="C197" s="99">
        <v>1</v>
      </c>
      <c r="D197" s="100"/>
      <c r="E197" s="100"/>
      <c r="F197" s="101"/>
      <c r="G197" s="101"/>
      <c r="H197" s="101"/>
      <c r="I197" s="96" t="s">
        <v>919</v>
      </c>
      <c r="J197" s="97">
        <f>+OUTILS!L62</f>
        <v>6.5775298804780888</v>
      </c>
      <c r="K197" s="78"/>
    </row>
    <row r="198" spans="1:11" s="43" customFormat="1" ht="23.25" customHeight="1" x14ac:dyDescent="0.25">
      <c r="A198" s="41"/>
      <c r="B198" s="44" t="s">
        <v>370</v>
      </c>
      <c r="C198" s="13">
        <v>100</v>
      </c>
      <c r="D198" s="45">
        <v>4.62</v>
      </c>
      <c r="E198" s="45">
        <v>5.6159999999999997</v>
      </c>
      <c r="F198" s="46"/>
      <c r="G198" s="46"/>
      <c r="H198" s="46"/>
      <c r="I198" s="12" t="s">
        <v>3</v>
      </c>
      <c r="J198" s="42">
        <v>4.62</v>
      </c>
      <c r="K198" s="78"/>
    </row>
    <row r="199" spans="1:11" s="43" customFormat="1" ht="23.25" customHeight="1" x14ac:dyDescent="0.25">
      <c r="A199" s="41" t="s">
        <v>371</v>
      </c>
      <c r="B199" s="44" t="s">
        <v>372</v>
      </c>
      <c r="C199" s="13">
        <v>1</v>
      </c>
      <c r="D199" s="45">
        <v>82</v>
      </c>
      <c r="E199" s="45"/>
      <c r="F199" s="46"/>
      <c r="G199" s="46"/>
      <c r="H199" s="46"/>
      <c r="I199" s="12" t="s">
        <v>3</v>
      </c>
      <c r="J199" s="42">
        <v>82</v>
      </c>
      <c r="K199" s="78"/>
    </row>
    <row r="200" spans="1:11" s="43" customFormat="1" ht="23.25" customHeight="1" x14ac:dyDescent="0.25">
      <c r="A200" s="47" t="s">
        <v>373</v>
      </c>
      <c r="B200" s="48" t="s">
        <v>374</v>
      </c>
      <c r="C200" s="16">
        <v>1</v>
      </c>
      <c r="D200" s="49">
        <v>24.2</v>
      </c>
      <c r="E200" s="49">
        <v>22.664000000000001</v>
      </c>
      <c r="F200" s="50">
        <v>24.9</v>
      </c>
      <c r="G200" s="50">
        <v>23.95</v>
      </c>
      <c r="H200" s="50"/>
      <c r="I200" s="17" t="s">
        <v>913</v>
      </c>
      <c r="J200" s="51">
        <v>20.56</v>
      </c>
      <c r="K200" s="78"/>
    </row>
    <row r="201" spans="1:11" s="43" customFormat="1" ht="23.25" customHeight="1" x14ac:dyDescent="0.25">
      <c r="A201" s="47" t="s">
        <v>375</v>
      </c>
      <c r="B201" s="48" t="s">
        <v>376</v>
      </c>
      <c r="C201" s="16">
        <v>1</v>
      </c>
      <c r="D201" s="49">
        <v>4.9000000000000004</v>
      </c>
      <c r="E201" s="49">
        <v>3.41</v>
      </c>
      <c r="F201" s="50"/>
      <c r="G201" s="50"/>
      <c r="H201" s="50"/>
      <c r="I201" s="17" t="s">
        <v>913</v>
      </c>
      <c r="J201" s="51">
        <v>3.41</v>
      </c>
      <c r="K201" s="78"/>
    </row>
    <row r="202" spans="1:11" s="43" customFormat="1" ht="23.25" customHeight="1" x14ac:dyDescent="0.25">
      <c r="A202" s="47" t="s">
        <v>377</v>
      </c>
      <c r="B202" s="48" t="s">
        <v>378</v>
      </c>
      <c r="C202" s="16">
        <v>1</v>
      </c>
      <c r="D202" s="49">
        <v>1.492</v>
      </c>
      <c r="E202" s="49">
        <v>1.464</v>
      </c>
      <c r="F202" s="50"/>
      <c r="G202" s="50"/>
      <c r="H202" s="50"/>
      <c r="I202" s="17" t="s">
        <v>913</v>
      </c>
      <c r="J202" s="51">
        <v>1.464</v>
      </c>
      <c r="K202" s="78"/>
    </row>
    <row r="203" spans="1:11" s="43" customFormat="1" ht="23.25" customHeight="1" x14ac:dyDescent="0.25">
      <c r="A203" s="104" t="s">
        <v>379</v>
      </c>
      <c r="B203" s="105" t="s">
        <v>380</v>
      </c>
      <c r="C203" s="106">
        <v>50</v>
      </c>
      <c r="D203" s="107">
        <v>2.6520000000000001</v>
      </c>
      <c r="E203" s="107">
        <v>1.47</v>
      </c>
      <c r="F203" s="108"/>
      <c r="G203" s="108"/>
      <c r="H203" s="108">
        <f>2.4/2</f>
        <v>1.2</v>
      </c>
      <c r="I203" s="109" t="s">
        <v>910</v>
      </c>
      <c r="J203" s="110">
        <v>1.2</v>
      </c>
      <c r="K203" s="78"/>
    </row>
    <row r="204" spans="1:11" s="43" customFormat="1" ht="23.25" customHeight="1" x14ac:dyDescent="0.25">
      <c r="A204" s="41"/>
      <c r="B204" s="44" t="s">
        <v>381</v>
      </c>
      <c r="C204" s="13">
        <v>50</v>
      </c>
      <c r="D204" s="45">
        <v>3.198</v>
      </c>
      <c r="E204" s="45"/>
      <c r="F204" s="46"/>
      <c r="G204" s="46"/>
      <c r="H204" s="46">
        <f>2.2/2</f>
        <v>1.1000000000000001</v>
      </c>
      <c r="I204" s="12" t="s">
        <v>3</v>
      </c>
      <c r="J204" s="42">
        <v>3.198</v>
      </c>
      <c r="K204" s="78"/>
    </row>
    <row r="205" spans="1:11" s="43" customFormat="1" ht="23.25" customHeight="1" x14ac:dyDescent="0.25">
      <c r="A205" s="47" t="s">
        <v>382</v>
      </c>
      <c r="B205" s="48" t="s">
        <v>383</v>
      </c>
      <c r="C205" s="16">
        <v>1</v>
      </c>
      <c r="D205" s="49">
        <v>17.266999999999999</v>
      </c>
      <c r="E205" s="49">
        <v>13.59</v>
      </c>
      <c r="F205" s="50"/>
      <c r="G205" s="50"/>
      <c r="H205" s="50"/>
      <c r="I205" s="17" t="s">
        <v>913</v>
      </c>
      <c r="J205" s="51">
        <v>13.59</v>
      </c>
      <c r="K205" s="78"/>
    </row>
    <row r="206" spans="1:11" s="43" customFormat="1" ht="23.25" customHeight="1" x14ac:dyDescent="0.25">
      <c r="A206" s="41" t="s">
        <v>384</v>
      </c>
      <c r="B206" s="44" t="s">
        <v>385</v>
      </c>
      <c r="C206" s="13">
        <v>1</v>
      </c>
      <c r="D206" s="45">
        <v>4.3499999999999996</v>
      </c>
      <c r="E206" s="45">
        <v>4.57</v>
      </c>
      <c r="F206" s="46"/>
      <c r="G206" s="46"/>
      <c r="H206" s="46"/>
      <c r="I206" s="12" t="s">
        <v>3</v>
      </c>
      <c r="J206" s="42">
        <v>4.3499999999999996</v>
      </c>
      <c r="K206" s="78"/>
    </row>
    <row r="207" spans="1:11" s="43" customFormat="1" ht="23.25" customHeight="1" x14ac:dyDescent="0.25">
      <c r="A207" s="47" t="s">
        <v>386</v>
      </c>
      <c r="B207" s="48" t="s">
        <v>387</v>
      </c>
      <c r="C207" s="16">
        <v>1</v>
      </c>
      <c r="D207" s="49">
        <v>5.0999999999999996</v>
      </c>
      <c r="E207" s="49">
        <v>3.64</v>
      </c>
      <c r="F207" s="50"/>
      <c r="G207" s="50"/>
      <c r="H207" s="50"/>
      <c r="I207" s="17" t="s">
        <v>913</v>
      </c>
      <c r="J207" s="51">
        <v>3.64</v>
      </c>
      <c r="K207" s="78"/>
    </row>
    <row r="208" spans="1:11" s="43" customFormat="1" ht="23.25" customHeight="1" x14ac:dyDescent="0.25">
      <c r="A208" s="47" t="s">
        <v>388</v>
      </c>
      <c r="B208" s="48" t="s">
        <v>389</v>
      </c>
      <c r="C208" s="16">
        <v>1</v>
      </c>
      <c r="D208" s="49">
        <v>14.5</v>
      </c>
      <c r="E208" s="49">
        <v>11.77</v>
      </c>
      <c r="F208" s="50"/>
      <c r="G208" s="50"/>
      <c r="H208" s="50"/>
      <c r="I208" s="17" t="s">
        <v>913</v>
      </c>
      <c r="J208" s="51">
        <v>11.77</v>
      </c>
      <c r="K208" s="78"/>
    </row>
    <row r="209" spans="1:11" s="43" customFormat="1" ht="23.25" customHeight="1" x14ac:dyDescent="0.25">
      <c r="A209" s="41"/>
      <c r="B209" s="44" t="s">
        <v>390</v>
      </c>
      <c r="C209" s="13">
        <v>10</v>
      </c>
      <c r="D209" s="45">
        <v>2.95</v>
      </c>
      <c r="E209" s="45">
        <v>3.093</v>
      </c>
      <c r="F209" s="46"/>
      <c r="G209" s="46"/>
      <c r="H209" s="46"/>
      <c r="I209" s="12" t="s">
        <v>3</v>
      </c>
      <c r="J209" s="42">
        <v>2.95</v>
      </c>
      <c r="K209" s="78"/>
    </row>
    <row r="210" spans="1:11" s="43" customFormat="1" ht="23.25" customHeight="1" x14ac:dyDescent="0.25">
      <c r="A210" s="47" t="s">
        <v>391</v>
      </c>
      <c r="B210" s="48" t="s">
        <v>392</v>
      </c>
      <c r="C210" s="16">
        <v>1</v>
      </c>
      <c r="D210" s="49"/>
      <c r="E210" s="49">
        <v>4.3410000000000002</v>
      </c>
      <c r="F210" s="50"/>
      <c r="G210" s="50"/>
      <c r="H210" s="50"/>
      <c r="I210" s="17" t="s">
        <v>913</v>
      </c>
      <c r="J210" s="51">
        <v>4.34</v>
      </c>
      <c r="K210" s="78"/>
    </row>
    <row r="211" spans="1:11" s="43" customFormat="1" ht="23.25" customHeight="1" x14ac:dyDescent="0.25">
      <c r="A211" s="52"/>
      <c r="B211" s="53" t="s">
        <v>393</v>
      </c>
      <c r="C211" s="14">
        <v>2.5</v>
      </c>
      <c r="D211" s="54"/>
      <c r="E211" s="54"/>
      <c r="F211" s="55">
        <v>2.0699999999999998</v>
      </c>
      <c r="G211" s="55"/>
      <c r="H211" s="55"/>
      <c r="I211" s="15" t="s">
        <v>918</v>
      </c>
      <c r="J211" s="56">
        <v>2.0699999999999998</v>
      </c>
      <c r="K211" s="78"/>
    </row>
    <row r="212" spans="1:11" s="43" customFormat="1" ht="23.25" customHeight="1" x14ac:dyDescent="0.25">
      <c r="A212" s="52" t="s">
        <v>394</v>
      </c>
      <c r="B212" s="53" t="s">
        <v>395</v>
      </c>
      <c r="C212" s="14">
        <v>1</v>
      </c>
      <c r="D212" s="54">
        <v>1.6</v>
      </c>
      <c r="E212" s="54">
        <v>2.0070000000000001</v>
      </c>
      <c r="F212" s="55">
        <f>7.95/5</f>
        <v>1.59</v>
      </c>
      <c r="G212" s="55"/>
      <c r="H212" s="55">
        <v>1.9</v>
      </c>
      <c r="I212" s="15" t="s">
        <v>918</v>
      </c>
      <c r="J212" s="56">
        <v>1.59</v>
      </c>
      <c r="K212" s="78"/>
    </row>
    <row r="213" spans="1:11" s="43" customFormat="1" ht="23.25" customHeight="1" x14ac:dyDescent="0.25">
      <c r="A213" s="41" t="s">
        <v>396</v>
      </c>
      <c r="B213" s="44" t="s">
        <v>397</v>
      </c>
      <c r="C213" s="13">
        <v>1</v>
      </c>
      <c r="D213" s="45">
        <v>2</v>
      </c>
      <c r="E213" s="45">
        <v>2.4169999999999998</v>
      </c>
      <c r="F213" s="46">
        <v>2.1</v>
      </c>
      <c r="G213" s="46"/>
      <c r="H213" s="46">
        <v>2.2000000000000002</v>
      </c>
      <c r="I213" s="12" t="s">
        <v>3</v>
      </c>
      <c r="J213" s="42">
        <v>2</v>
      </c>
      <c r="K213" s="78"/>
    </row>
    <row r="214" spans="1:11" s="43" customFormat="1" ht="23.25" customHeight="1" x14ac:dyDescent="0.25">
      <c r="A214" s="52" t="s">
        <v>398</v>
      </c>
      <c r="B214" s="53" t="s">
        <v>399</v>
      </c>
      <c r="C214" s="14">
        <v>1</v>
      </c>
      <c r="D214" s="54">
        <v>1.893</v>
      </c>
      <c r="E214" s="54">
        <v>1.996</v>
      </c>
      <c r="F214" s="55">
        <v>1.8</v>
      </c>
      <c r="G214" s="55"/>
      <c r="H214" s="55">
        <v>1.9</v>
      </c>
      <c r="I214" s="15" t="s">
        <v>918</v>
      </c>
      <c r="J214" s="56">
        <v>1.8</v>
      </c>
      <c r="K214" s="78"/>
    </row>
    <row r="215" spans="1:11" s="43" customFormat="1" ht="23.25" customHeight="1" x14ac:dyDescent="0.25">
      <c r="A215" s="52" t="s">
        <v>400</v>
      </c>
      <c r="B215" s="53" t="s">
        <v>401</v>
      </c>
      <c r="C215" s="14">
        <v>1</v>
      </c>
      <c r="D215" s="54">
        <v>10.52</v>
      </c>
      <c r="E215" s="54">
        <v>9.9</v>
      </c>
      <c r="F215" s="55">
        <v>8.1</v>
      </c>
      <c r="G215" s="55"/>
      <c r="H215" s="55">
        <v>4.95</v>
      </c>
      <c r="I215" s="15" t="s">
        <v>918</v>
      </c>
      <c r="J215" s="56">
        <v>8.1</v>
      </c>
      <c r="K215" s="78"/>
    </row>
    <row r="216" spans="1:11" s="43" customFormat="1" ht="23.25" customHeight="1" x14ac:dyDescent="0.25">
      <c r="A216" s="104" t="s">
        <v>402</v>
      </c>
      <c r="B216" s="105" t="s">
        <v>403</v>
      </c>
      <c r="C216" s="106">
        <v>24</v>
      </c>
      <c r="D216" s="107">
        <v>0.67</v>
      </c>
      <c r="E216" s="107"/>
      <c r="F216" s="108"/>
      <c r="G216" s="108"/>
      <c r="H216" s="108">
        <v>0.61899999999999999</v>
      </c>
      <c r="I216" s="109" t="s">
        <v>910</v>
      </c>
      <c r="J216" s="110">
        <v>0.62</v>
      </c>
      <c r="K216" s="78"/>
    </row>
    <row r="217" spans="1:11" s="43" customFormat="1" ht="23.25" customHeight="1" x14ac:dyDescent="0.25">
      <c r="A217" s="104" t="s">
        <v>404</v>
      </c>
      <c r="B217" s="105" t="s">
        <v>405</v>
      </c>
      <c r="C217" s="106">
        <v>12</v>
      </c>
      <c r="D217" s="107">
        <v>1.26</v>
      </c>
      <c r="E217" s="107"/>
      <c r="F217" s="108"/>
      <c r="G217" s="108">
        <v>0.99</v>
      </c>
      <c r="H217" s="108">
        <v>1.03</v>
      </c>
      <c r="I217" s="109" t="s">
        <v>910</v>
      </c>
      <c r="J217" s="110">
        <v>1.03</v>
      </c>
      <c r="K217" s="78"/>
    </row>
    <row r="218" spans="1:11" s="43" customFormat="1" ht="23.25" customHeight="1" x14ac:dyDescent="0.25">
      <c r="A218" s="104" t="s">
        <v>406</v>
      </c>
      <c r="B218" s="105" t="s">
        <v>407</v>
      </c>
      <c r="C218" s="106">
        <v>20</v>
      </c>
      <c r="D218" s="107">
        <v>7.09</v>
      </c>
      <c r="E218" s="107">
        <v>8.14</v>
      </c>
      <c r="F218" s="108">
        <v>8.34</v>
      </c>
      <c r="G218" s="108"/>
      <c r="H218" s="108">
        <v>6.99</v>
      </c>
      <c r="I218" s="109" t="s">
        <v>910</v>
      </c>
      <c r="J218" s="110">
        <v>6.99</v>
      </c>
      <c r="K218" s="78"/>
    </row>
    <row r="219" spans="1:11" s="43" customFormat="1" ht="23.25" customHeight="1" x14ac:dyDescent="0.25">
      <c r="A219" s="104" t="s">
        <v>409</v>
      </c>
      <c r="B219" s="105" t="s">
        <v>410</v>
      </c>
      <c r="C219" s="106">
        <v>1</v>
      </c>
      <c r="D219" s="107">
        <v>7.56</v>
      </c>
      <c r="E219" s="107">
        <v>7.7130000000000001</v>
      </c>
      <c r="F219" s="108">
        <v>6</v>
      </c>
      <c r="G219" s="108"/>
      <c r="H219" s="108">
        <v>4.95</v>
      </c>
      <c r="I219" s="109" t="s">
        <v>910</v>
      </c>
      <c r="J219" s="110">
        <v>4.95</v>
      </c>
      <c r="K219" s="78"/>
    </row>
    <row r="220" spans="1:11" s="43" customFormat="1" ht="23.25" customHeight="1" x14ac:dyDescent="0.25">
      <c r="A220" s="41" t="s">
        <v>411</v>
      </c>
      <c r="B220" s="44" t="s">
        <v>412</v>
      </c>
      <c r="C220" s="13">
        <v>1</v>
      </c>
      <c r="D220" s="45">
        <v>5.3879999999999999</v>
      </c>
      <c r="E220" s="45">
        <v>6.2279999999999998</v>
      </c>
      <c r="F220" s="46">
        <v>5.95</v>
      </c>
      <c r="G220" s="46"/>
      <c r="H220" s="46"/>
      <c r="I220" s="12" t="s">
        <v>3</v>
      </c>
      <c r="J220" s="42">
        <v>5.3890000000000002</v>
      </c>
      <c r="K220" s="78"/>
    </row>
    <row r="221" spans="1:11" s="43" customFormat="1" ht="23.25" customHeight="1" x14ac:dyDescent="0.25">
      <c r="A221" s="104"/>
      <c r="B221" s="105" t="s">
        <v>413</v>
      </c>
      <c r="C221" s="106" t="s">
        <v>923</v>
      </c>
      <c r="D221" s="107">
        <v>9.48</v>
      </c>
      <c r="E221" s="107">
        <v>8.7530000000000001</v>
      </c>
      <c r="F221" s="108"/>
      <c r="G221" s="108"/>
      <c r="H221" s="108">
        <v>7.9</v>
      </c>
      <c r="I221" s="109" t="s">
        <v>910</v>
      </c>
      <c r="J221" s="110">
        <v>7.9</v>
      </c>
      <c r="K221" s="78"/>
    </row>
    <row r="222" spans="1:11" s="43" customFormat="1" ht="23.25" customHeight="1" x14ac:dyDescent="0.25">
      <c r="A222" s="104" t="s">
        <v>414</v>
      </c>
      <c r="B222" s="105" t="s">
        <v>415</v>
      </c>
      <c r="C222" s="106">
        <v>250</v>
      </c>
      <c r="D222" s="107">
        <v>0.15</v>
      </c>
      <c r="E222" s="107">
        <v>0.09</v>
      </c>
      <c r="F222" s="108"/>
      <c r="G222" s="108"/>
      <c r="H222" s="170">
        <v>7.8E-2</v>
      </c>
      <c r="I222" s="109" t="s">
        <v>910</v>
      </c>
      <c r="J222" s="110">
        <v>7.8E-2</v>
      </c>
      <c r="K222" s="78"/>
    </row>
    <row r="223" spans="1:11" s="43" customFormat="1" ht="23.25" customHeight="1" x14ac:dyDescent="0.25">
      <c r="A223" s="57" t="s">
        <v>416</v>
      </c>
      <c r="B223" s="58" t="s">
        <v>417</v>
      </c>
      <c r="C223" s="20">
        <v>1</v>
      </c>
      <c r="D223" s="59"/>
      <c r="E223" s="59"/>
      <c r="F223" s="60"/>
      <c r="G223" s="60">
        <v>0.39</v>
      </c>
      <c r="H223" s="60"/>
      <c r="I223" s="19" t="s">
        <v>916</v>
      </c>
      <c r="J223" s="61">
        <v>0.39</v>
      </c>
      <c r="K223" s="78"/>
    </row>
    <row r="224" spans="1:11" s="43" customFormat="1" ht="23.25" customHeight="1" x14ac:dyDescent="0.25">
      <c r="A224" s="104"/>
      <c r="B224" s="105" t="s">
        <v>1077</v>
      </c>
      <c r="C224" s="106">
        <v>1</v>
      </c>
      <c r="D224" s="107"/>
      <c r="E224" s="107"/>
      <c r="F224" s="108">
        <v>1.02</v>
      </c>
      <c r="G224" s="108"/>
      <c r="H224" s="108">
        <v>0.99</v>
      </c>
      <c r="I224" s="109" t="s">
        <v>910</v>
      </c>
      <c r="J224" s="110">
        <v>0.99</v>
      </c>
      <c r="K224" s="78"/>
    </row>
    <row r="225" spans="1:11" s="43" customFormat="1" ht="23.25" customHeight="1" x14ac:dyDescent="0.25">
      <c r="A225" s="104" t="s">
        <v>418</v>
      </c>
      <c r="B225" s="105" t="s">
        <v>419</v>
      </c>
      <c r="C225" s="106">
        <v>6</v>
      </c>
      <c r="D225" s="107">
        <v>0.86799999999999999</v>
      </c>
      <c r="E225" s="107">
        <v>0.83099999999999996</v>
      </c>
      <c r="F225" s="108">
        <v>0.84</v>
      </c>
      <c r="G225" s="108"/>
      <c r="H225" s="108">
        <v>0.79</v>
      </c>
      <c r="I225" s="109" t="s">
        <v>910</v>
      </c>
      <c r="J225" s="110">
        <v>0.79</v>
      </c>
      <c r="K225" s="78"/>
    </row>
    <row r="226" spans="1:11" s="43" customFormat="1" ht="23.25" customHeight="1" x14ac:dyDescent="0.25">
      <c r="A226" s="41"/>
      <c r="B226" s="44" t="s">
        <v>420</v>
      </c>
      <c r="C226" s="13">
        <v>240</v>
      </c>
      <c r="D226" s="45">
        <v>0.14000000000000001</v>
      </c>
      <c r="E226" s="45"/>
      <c r="F226" s="46"/>
      <c r="G226" s="46"/>
      <c r="H226" s="46"/>
      <c r="I226" s="12" t="s">
        <v>3</v>
      </c>
      <c r="J226" s="42">
        <f>34.58/240</f>
        <v>0.14408333333333331</v>
      </c>
      <c r="K226" s="78"/>
    </row>
    <row r="227" spans="1:11" s="43" customFormat="1" ht="23.25" customHeight="1" x14ac:dyDescent="0.25">
      <c r="A227" s="41" t="s">
        <v>421</v>
      </c>
      <c r="B227" s="44" t="s">
        <v>422</v>
      </c>
      <c r="C227" s="13">
        <v>1</v>
      </c>
      <c r="D227" s="45">
        <v>6.7859999999999996</v>
      </c>
      <c r="E227" s="45">
        <f>3.09/0.397</f>
        <v>7.7833753148614599</v>
      </c>
      <c r="F227" s="46"/>
      <c r="G227" s="46"/>
      <c r="H227" s="46"/>
      <c r="I227" s="12" t="s">
        <v>3</v>
      </c>
      <c r="J227" s="42">
        <v>6.79</v>
      </c>
      <c r="K227" s="78"/>
    </row>
    <row r="228" spans="1:11" s="43" customFormat="1" ht="23.25" customHeight="1" x14ac:dyDescent="0.25">
      <c r="A228" s="41" t="s">
        <v>423</v>
      </c>
      <c r="B228" s="44" t="s">
        <v>424</v>
      </c>
      <c r="C228" s="13">
        <v>3</v>
      </c>
      <c r="D228" s="45">
        <v>52.76</v>
      </c>
      <c r="E228" s="45"/>
      <c r="F228" s="46"/>
      <c r="G228" s="46"/>
      <c r="H228" s="46"/>
      <c r="I228" s="12" t="s">
        <v>3</v>
      </c>
      <c r="J228" s="42">
        <v>52.76</v>
      </c>
      <c r="K228" s="78"/>
    </row>
    <row r="229" spans="1:11" s="43" customFormat="1" ht="23.25" customHeight="1" x14ac:dyDescent="0.25">
      <c r="A229" s="52" t="s">
        <v>425</v>
      </c>
      <c r="B229" s="53" t="s">
        <v>426</v>
      </c>
      <c r="C229" s="14">
        <v>1</v>
      </c>
      <c r="D229" s="54">
        <v>6.51</v>
      </c>
      <c r="E229" s="54">
        <v>6.24</v>
      </c>
      <c r="F229" s="55">
        <v>6</v>
      </c>
      <c r="G229" s="55"/>
      <c r="H229" s="55"/>
      <c r="I229" s="15" t="s">
        <v>918</v>
      </c>
      <c r="J229" s="56">
        <v>6</v>
      </c>
      <c r="K229" s="78"/>
    </row>
    <row r="230" spans="1:11" s="43" customFormat="1" ht="23.25" customHeight="1" x14ac:dyDescent="0.25">
      <c r="A230" s="104" t="s">
        <v>427</v>
      </c>
      <c r="B230" s="105" t="s">
        <v>428</v>
      </c>
      <c r="C230" s="106">
        <v>25</v>
      </c>
      <c r="D230" s="107">
        <v>6.6379999999999999</v>
      </c>
      <c r="E230" s="107">
        <v>12.9</v>
      </c>
      <c r="F230" s="108"/>
      <c r="G230" s="108"/>
      <c r="H230" s="108">
        <v>4.99</v>
      </c>
      <c r="I230" s="109" t="s">
        <v>910</v>
      </c>
      <c r="J230" s="110">
        <v>4.99</v>
      </c>
      <c r="K230" s="78"/>
    </row>
    <row r="231" spans="1:11" s="43" customFormat="1" ht="23.25" customHeight="1" x14ac:dyDescent="0.25">
      <c r="A231" s="85" t="s">
        <v>429</v>
      </c>
      <c r="B231" s="88" t="s">
        <v>430</v>
      </c>
      <c r="C231" s="89">
        <v>1</v>
      </c>
      <c r="D231" s="90"/>
      <c r="E231" s="90"/>
      <c r="F231" s="91"/>
      <c r="G231" s="91">
        <f>+J231</f>
        <v>0.71633333333333338</v>
      </c>
      <c r="H231" s="91"/>
      <c r="I231" s="86" t="s">
        <v>919</v>
      </c>
      <c r="J231" s="87">
        <f>+OUTILS!D18</f>
        <v>0.71633333333333338</v>
      </c>
      <c r="K231" s="78"/>
    </row>
    <row r="232" spans="1:11" s="43" customFormat="1" ht="23.25" customHeight="1" x14ac:dyDescent="0.25">
      <c r="A232" s="41" t="s">
        <v>431</v>
      </c>
      <c r="B232" s="44" t="s">
        <v>432</v>
      </c>
      <c r="C232" s="13">
        <v>1</v>
      </c>
      <c r="D232" s="45">
        <v>4.694</v>
      </c>
      <c r="E232" s="45">
        <v>6.7</v>
      </c>
      <c r="F232" s="46"/>
      <c r="G232" s="46"/>
      <c r="H232" s="46"/>
      <c r="I232" s="12" t="s">
        <v>3</v>
      </c>
      <c r="J232" s="42">
        <v>4.6900000000000004</v>
      </c>
      <c r="K232" s="78"/>
    </row>
    <row r="233" spans="1:11" s="43" customFormat="1" ht="23.25" customHeight="1" x14ac:dyDescent="0.25">
      <c r="A233" s="47" t="s">
        <v>433</v>
      </c>
      <c r="B233" s="48" t="s">
        <v>434</v>
      </c>
      <c r="C233" s="16">
        <v>1</v>
      </c>
      <c r="D233" s="49">
        <f>4.75/2.5</f>
        <v>1.9</v>
      </c>
      <c r="E233" s="49">
        <v>1.7749999999999999</v>
      </c>
      <c r="F233" s="50"/>
      <c r="G233" s="50"/>
      <c r="H233" s="50">
        <v>1.77</v>
      </c>
      <c r="I233" s="17" t="s">
        <v>913</v>
      </c>
      <c r="J233" s="51">
        <v>1.7749999999999999</v>
      </c>
      <c r="K233" s="78"/>
    </row>
    <row r="234" spans="1:11" s="43" customFormat="1" ht="23.25" customHeight="1" x14ac:dyDescent="0.25">
      <c r="A234" s="52" t="s">
        <v>435</v>
      </c>
      <c r="B234" s="53" t="s">
        <v>436</v>
      </c>
      <c r="C234" s="14">
        <v>1</v>
      </c>
      <c r="D234" s="54">
        <f>10.285/2.5</f>
        <v>4.1139999999999999</v>
      </c>
      <c r="E234" s="54">
        <v>3.49</v>
      </c>
      <c r="F234" s="55">
        <v>3.45</v>
      </c>
      <c r="G234" s="55"/>
      <c r="H234" s="55">
        <v>3.49</v>
      </c>
      <c r="I234" s="15" t="s">
        <v>918</v>
      </c>
      <c r="J234" s="56">
        <v>3.45</v>
      </c>
      <c r="K234" s="78"/>
    </row>
    <row r="235" spans="1:11" s="43" customFormat="1" ht="23.25" customHeight="1" x14ac:dyDescent="0.25">
      <c r="A235" s="52" t="s">
        <v>437</v>
      </c>
      <c r="B235" s="53" t="s">
        <v>438</v>
      </c>
      <c r="C235" s="14">
        <v>1</v>
      </c>
      <c r="D235" s="54">
        <f>9.18/2.5</f>
        <v>3.6719999999999997</v>
      </c>
      <c r="E235" s="54">
        <v>3.242</v>
      </c>
      <c r="F235" s="55">
        <v>3.05</v>
      </c>
      <c r="G235" s="55"/>
      <c r="H235" s="55">
        <v>3.25</v>
      </c>
      <c r="I235" s="15" t="s">
        <v>918</v>
      </c>
      <c r="J235" s="56">
        <v>3.05</v>
      </c>
      <c r="K235" s="78"/>
    </row>
    <row r="236" spans="1:11" s="43" customFormat="1" ht="23.25" customHeight="1" x14ac:dyDescent="0.25">
      <c r="A236" s="104" t="s">
        <v>439</v>
      </c>
      <c r="B236" s="105" t="s">
        <v>440</v>
      </c>
      <c r="C236" s="106">
        <v>1</v>
      </c>
      <c r="D236" s="107">
        <v>4.3</v>
      </c>
      <c r="E236" s="107">
        <v>3.9420000000000002</v>
      </c>
      <c r="F236" s="108"/>
      <c r="G236" s="108"/>
      <c r="H236" s="108">
        <v>3.85</v>
      </c>
      <c r="I236" s="109" t="s">
        <v>910</v>
      </c>
      <c r="J236" s="110">
        <v>3.85</v>
      </c>
      <c r="K236" s="78"/>
    </row>
    <row r="237" spans="1:11" s="43" customFormat="1" ht="23.25" customHeight="1" x14ac:dyDescent="0.25">
      <c r="A237" s="104"/>
      <c r="B237" s="105" t="s">
        <v>441</v>
      </c>
      <c r="C237" s="106">
        <v>5</v>
      </c>
      <c r="D237" s="107">
        <v>22.338000000000001</v>
      </c>
      <c r="E237" s="107"/>
      <c r="F237" s="108"/>
      <c r="G237" s="108"/>
      <c r="H237" s="108">
        <v>17.39</v>
      </c>
      <c r="I237" s="109" t="s">
        <v>910</v>
      </c>
      <c r="J237" s="110">
        <v>17.39</v>
      </c>
      <c r="K237" s="78"/>
    </row>
    <row r="238" spans="1:11" s="43" customFormat="1" ht="23.25" customHeight="1" x14ac:dyDescent="0.25">
      <c r="A238" s="47" t="s">
        <v>442</v>
      </c>
      <c r="B238" s="48" t="s">
        <v>443</v>
      </c>
      <c r="C238" s="16">
        <v>1</v>
      </c>
      <c r="D238" s="49">
        <v>2.37</v>
      </c>
      <c r="E238" s="49">
        <v>2.0499999999999998</v>
      </c>
      <c r="F238" s="50">
        <v>2.15</v>
      </c>
      <c r="G238" s="50"/>
      <c r="H238" s="50"/>
      <c r="I238" s="17" t="s">
        <v>913</v>
      </c>
      <c r="J238" s="51">
        <v>2.0499999999999998</v>
      </c>
      <c r="K238" s="78"/>
    </row>
    <row r="239" spans="1:11" s="43" customFormat="1" ht="23.25" customHeight="1" x14ac:dyDescent="0.25">
      <c r="A239" s="47"/>
      <c r="B239" s="48" t="s">
        <v>444</v>
      </c>
      <c r="C239" s="16">
        <v>10</v>
      </c>
      <c r="D239" s="49">
        <v>3.06</v>
      </c>
      <c r="E239" s="49">
        <v>2.645</v>
      </c>
      <c r="F239" s="50">
        <v>2.89</v>
      </c>
      <c r="G239" s="50"/>
      <c r="H239" s="50"/>
      <c r="I239" s="17" t="s">
        <v>913</v>
      </c>
      <c r="J239" s="51">
        <v>2.5</v>
      </c>
      <c r="K239" s="78"/>
    </row>
    <row r="240" spans="1:11" s="43" customFormat="1" ht="23.25" customHeight="1" x14ac:dyDescent="0.25">
      <c r="A240" s="52"/>
      <c r="B240" s="53" t="s">
        <v>445</v>
      </c>
      <c r="C240" s="14">
        <v>0.5</v>
      </c>
      <c r="D240" s="54">
        <v>4.72</v>
      </c>
      <c r="E240" s="54"/>
      <c r="F240" s="55">
        <v>3.65</v>
      </c>
      <c r="G240" s="55"/>
      <c r="H240" s="55"/>
      <c r="I240" s="15" t="s">
        <v>918</v>
      </c>
      <c r="J240" s="56">
        <v>3.65</v>
      </c>
      <c r="K240" s="78"/>
    </row>
    <row r="241" spans="1:11" s="43" customFormat="1" ht="23.25" customHeight="1" x14ac:dyDescent="0.25">
      <c r="A241" s="41" t="s">
        <v>446</v>
      </c>
      <c r="B241" s="44" t="s">
        <v>447</v>
      </c>
      <c r="C241" s="13">
        <v>1</v>
      </c>
      <c r="D241" s="45">
        <v>10.8</v>
      </c>
      <c r="E241" s="45">
        <v>12.286</v>
      </c>
      <c r="F241" s="46">
        <f>2.39*5</f>
        <v>11.950000000000001</v>
      </c>
      <c r="G241" s="46"/>
      <c r="H241" s="46"/>
      <c r="I241" s="12" t="s">
        <v>3</v>
      </c>
      <c r="J241" s="42">
        <v>10.8</v>
      </c>
      <c r="K241" s="78"/>
    </row>
    <row r="242" spans="1:11" s="43" customFormat="1" ht="23.25" customHeight="1" x14ac:dyDescent="0.25">
      <c r="A242" s="41" t="s">
        <v>448</v>
      </c>
      <c r="B242" s="44" t="s">
        <v>449</v>
      </c>
      <c r="C242" s="13">
        <v>1</v>
      </c>
      <c r="D242" s="122">
        <v>2.11</v>
      </c>
      <c r="E242" s="122">
        <v>2.327</v>
      </c>
      <c r="F242" s="46"/>
      <c r="G242" s="46"/>
      <c r="H242" s="46"/>
      <c r="I242" s="12" t="s">
        <v>3</v>
      </c>
      <c r="J242" s="42">
        <v>2.11</v>
      </c>
      <c r="K242" s="78"/>
    </row>
    <row r="243" spans="1:11" s="43" customFormat="1" ht="23.25" customHeight="1" x14ac:dyDescent="0.25">
      <c r="A243" s="116"/>
      <c r="B243" s="127" t="s">
        <v>450</v>
      </c>
      <c r="C243" s="20">
        <v>1</v>
      </c>
      <c r="D243" s="128"/>
      <c r="E243" s="128"/>
      <c r="F243" s="129"/>
      <c r="G243" s="129"/>
      <c r="H243" s="60">
        <v>1.55</v>
      </c>
      <c r="I243" s="19" t="s">
        <v>916</v>
      </c>
      <c r="J243" s="61">
        <v>1.55</v>
      </c>
      <c r="K243" s="78"/>
    </row>
    <row r="244" spans="1:11" s="43" customFormat="1" ht="23.25" customHeight="1" x14ac:dyDescent="0.25">
      <c r="A244" s="52"/>
      <c r="B244" s="53" t="s">
        <v>451</v>
      </c>
      <c r="C244" s="14">
        <v>1</v>
      </c>
      <c r="D244" s="54"/>
      <c r="E244" s="54"/>
      <c r="F244" s="55">
        <v>11.35</v>
      </c>
      <c r="G244" s="55"/>
      <c r="H244" s="55"/>
      <c r="I244" s="15" t="s">
        <v>918</v>
      </c>
      <c r="J244" s="56">
        <v>11.35</v>
      </c>
      <c r="K244" s="78"/>
    </row>
    <row r="245" spans="1:11" s="43" customFormat="1" ht="23.25" customHeight="1" x14ac:dyDescent="0.25">
      <c r="A245" s="104" t="s">
        <v>452</v>
      </c>
      <c r="B245" s="105" t="s">
        <v>453</v>
      </c>
      <c r="C245" s="106">
        <v>1</v>
      </c>
      <c r="D245" s="107">
        <v>4.8</v>
      </c>
      <c r="E245" s="107">
        <v>4.5</v>
      </c>
      <c r="F245" s="108"/>
      <c r="G245" s="108"/>
      <c r="H245" s="108">
        <v>3.99</v>
      </c>
      <c r="I245" s="109" t="s">
        <v>910</v>
      </c>
      <c r="J245" s="110">
        <v>3.99</v>
      </c>
      <c r="K245" s="78"/>
    </row>
    <row r="246" spans="1:11" s="43" customFormat="1" ht="23.25" customHeight="1" x14ac:dyDescent="0.25">
      <c r="A246" s="104" t="s">
        <v>454</v>
      </c>
      <c r="B246" s="105" t="s">
        <v>455</v>
      </c>
      <c r="C246" s="106">
        <v>24</v>
      </c>
      <c r="D246" s="107">
        <v>0.73</v>
      </c>
      <c r="E246" s="107"/>
      <c r="F246" s="108"/>
      <c r="G246" s="108"/>
      <c r="H246" s="108">
        <v>0.69899999999999995</v>
      </c>
      <c r="I246" s="109" t="s">
        <v>910</v>
      </c>
      <c r="J246" s="110">
        <v>0.7</v>
      </c>
      <c r="K246" s="78"/>
    </row>
    <row r="247" spans="1:11" s="43" customFormat="1" ht="23.25" customHeight="1" x14ac:dyDescent="0.25">
      <c r="A247" s="104" t="s">
        <v>456</v>
      </c>
      <c r="B247" s="105" t="s">
        <v>457</v>
      </c>
      <c r="C247" s="106">
        <v>24</v>
      </c>
      <c r="D247" s="107">
        <v>0.71</v>
      </c>
      <c r="E247" s="107"/>
      <c r="F247" s="108"/>
      <c r="G247" s="108"/>
      <c r="H247" s="108">
        <v>0.64</v>
      </c>
      <c r="I247" s="109" t="s">
        <v>910</v>
      </c>
      <c r="J247" s="110">
        <v>0.63900000000000001</v>
      </c>
      <c r="K247" s="78"/>
    </row>
    <row r="248" spans="1:11" s="43" customFormat="1" ht="23.25" customHeight="1" x14ac:dyDescent="0.25">
      <c r="A248" s="41" t="s">
        <v>458</v>
      </c>
      <c r="B248" s="44" t="s">
        <v>459</v>
      </c>
      <c r="C248" s="13">
        <v>1</v>
      </c>
      <c r="D248" s="45">
        <v>4.68</v>
      </c>
      <c r="E248" s="45">
        <v>5.048</v>
      </c>
      <c r="F248" s="46"/>
      <c r="G248" s="46"/>
      <c r="H248" s="46"/>
      <c r="I248" s="12" t="s">
        <v>3</v>
      </c>
      <c r="J248" s="42">
        <v>4.68</v>
      </c>
      <c r="K248" s="78"/>
    </row>
    <row r="249" spans="1:11" s="43" customFormat="1" ht="23.25" customHeight="1" x14ac:dyDescent="0.25">
      <c r="A249" s="47" t="s">
        <v>460</v>
      </c>
      <c r="B249" s="48" t="s">
        <v>461</v>
      </c>
      <c r="C249" s="16">
        <v>1</v>
      </c>
      <c r="D249" s="49"/>
      <c r="E249" s="49">
        <v>0.157</v>
      </c>
      <c r="F249" s="50"/>
      <c r="G249" s="50"/>
      <c r="H249" s="50"/>
      <c r="I249" s="17" t="s">
        <v>913</v>
      </c>
      <c r="J249" s="51">
        <v>0.16</v>
      </c>
      <c r="K249" s="78"/>
    </row>
    <row r="250" spans="1:11" s="43" customFormat="1" ht="23.25" customHeight="1" x14ac:dyDescent="0.25">
      <c r="A250" s="47" t="s">
        <v>462</v>
      </c>
      <c r="B250" s="48" t="s">
        <v>463</v>
      </c>
      <c r="C250" s="16">
        <v>1</v>
      </c>
      <c r="D250" s="49">
        <v>2.8</v>
      </c>
      <c r="E250" s="49">
        <v>2.1800000000000002</v>
      </c>
      <c r="F250" s="50">
        <v>2.9</v>
      </c>
      <c r="G250" s="50"/>
      <c r="H250" s="50"/>
      <c r="I250" s="17" t="s">
        <v>913</v>
      </c>
      <c r="J250" s="51">
        <v>2.1800000000000002</v>
      </c>
      <c r="K250" s="78"/>
    </row>
    <row r="251" spans="1:11" s="43" customFormat="1" ht="23.25" customHeight="1" x14ac:dyDescent="0.25">
      <c r="A251" s="52" t="s">
        <v>464</v>
      </c>
      <c r="B251" s="53" t="s">
        <v>465</v>
      </c>
      <c r="C251" s="14">
        <v>1</v>
      </c>
      <c r="D251" s="54">
        <v>16.5</v>
      </c>
      <c r="E251" s="54">
        <f>13.71*1.3</f>
        <v>17.823</v>
      </c>
      <c r="F251" s="55">
        <f>1.3*9.74</f>
        <v>12.662000000000001</v>
      </c>
      <c r="G251" s="55"/>
      <c r="H251" s="55"/>
      <c r="I251" s="15" t="s">
        <v>918</v>
      </c>
      <c r="J251" s="56">
        <v>12.66</v>
      </c>
      <c r="K251" s="78"/>
    </row>
    <row r="252" spans="1:11" s="43" customFormat="1" ht="23.25" customHeight="1" x14ac:dyDescent="0.25">
      <c r="A252" s="47" t="s">
        <v>466</v>
      </c>
      <c r="B252" s="48" t="s">
        <v>467</v>
      </c>
      <c r="C252" s="16">
        <v>1</v>
      </c>
      <c r="D252" s="49">
        <v>5.38</v>
      </c>
      <c r="E252" s="49">
        <v>5.26</v>
      </c>
      <c r="F252" s="50">
        <v>6.05</v>
      </c>
      <c r="G252" s="50"/>
      <c r="H252" s="50"/>
      <c r="I252" s="17" t="s">
        <v>913</v>
      </c>
      <c r="J252" s="51">
        <v>5.26</v>
      </c>
      <c r="K252" s="78"/>
    </row>
    <row r="253" spans="1:11" s="43" customFormat="1" ht="23.25" customHeight="1" x14ac:dyDescent="0.25">
      <c r="A253" s="47" t="s">
        <v>468</v>
      </c>
      <c r="B253" s="48" t="s">
        <v>469</v>
      </c>
      <c r="C253" s="16">
        <v>1</v>
      </c>
      <c r="D253" s="49">
        <v>14.5</v>
      </c>
      <c r="E253" s="49">
        <v>12.446999999999999</v>
      </c>
      <c r="F253" s="50">
        <v>12.7</v>
      </c>
      <c r="G253" s="50"/>
      <c r="H253" s="50"/>
      <c r="I253" s="17" t="s">
        <v>913</v>
      </c>
      <c r="J253" s="51">
        <v>12.445</v>
      </c>
      <c r="K253" s="78"/>
    </row>
    <row r="254" spans="1:11" s="43" customFormat="1" ht="23.25" customHeight="1" x14ac:dyDescent="0.25">
      <c r="A254" s="57" t="s">
        <v>470</v>
      </c>
      <c r="B254" s="58" t="s">
        <v>471</v>
      </c>
      <c r="C254" s="20">
        <v>1</v>
      </c>
      <c r="D254" s="59"/>
      <c r="E254" s="59"/>
      <c r="F254" s="60"/>
      <c r="G254" s="60">
        <v>2.95</v>
      </c>
      <c r="H254" s="60"/>
      <c r="I254" s="19" t="s">
        <v>916</v>
      </c>
      <c r="J254" s="61">
        <v>2.95</v>
      </c>
      <c r="K254" s="78"/>
    </row>
    <row r="255" spans="1:11" s="43" customFormat="1" ht="23.25" customHeight="1" x14ac:dyDescent="0.25">
      <c r="A255" s="104" t="s">
        <v>472</v>
      </c>
      <c r="B255" s="105" t="s">
        <v>473</v>
      </c>
      <c r="C255" s="106">
        <v>1</v>
      </c>
      <c r="D255" s="107">
        <v>35</v>
      </c>
      <c r="E255" s="107">
        <f>2.75*14</f>
        <v>38.5</v>
      </c>
      <c r="F255" s="108"/>
      <c r="G255" s="108"/>
      <c r="H255" s="108">
        <f>2.19*14</f>
        <v>30.66</v>
      </c>
      <c r="I255" s="109" t="s">
        <v>910</v>
      </c>
      <c r="J255" s="110">
        <v>30.66</v>
      </c>
      <c r="K255" s="78"/>
    </row>
    <row r="256" spans="1:11" s="43" customFormat="1" ht="23.25" customHeight="1" x14ac:dyDescent="0.25">
      <c r="A256" s="41" t="s">
        <v>474</v>
      </c>
      <c r="B256" s="44" t="s">
        <v>475</v>
      </c>
      <c r="C256" s="13">
        <v>1</v>
      </c>
      <c r="D256" s="45">
        <v>2.7</v>
      </c>
      <c r="E256" s="45">
        <v>2.0169999999999999</v>
      </c>
      <c r="F256" s="46"/>
      <c r="G256" s="46"/>
      <c r="H256" s="46"/>
      <c r="I256" s="12" t="s">
        <v>3</v>
      </c>
      <c r="J256" s="42">
        <v>2.7</v>
      </c>
      <c r="K256" s="78"/>
    </row>
    <row r="257" spans="1:11" s="43" customFormat="1" ht="23.25" customHeight="1" x14ac:dyDescent="0.25">
      <c r="A257" s="47" t="s">
        <v>476</v>
      </c>
      <c r="B257" s="48" t="s">
        <v>477</v>
      </c>
      <c r="C257" s="16">
        <v>1</v>
      </c>
      <c r="D257" s="49">
        <v>27.95</v>
      </c>
      <c r="E257" s="49">
        <f>2.015*13</f>
        <v>26.195</v>
      </c>
      <c r="F257" s="50"/>
      <c r="G257" s="50"/>
      <c r="H257" s="50"/>
      <c r="I257" s="17" t="s">
        <v>913</v>
      </c>
      <c r="J257" s="51">
        <v>23.79</v>
      </c>
      <c r="K257" s="78"/>
    </row>
    <row r="258" spans="1:11" s="43" customFormat="1" ht="23.25" customHeight="1" x14ac:dyDescent="0.25">
      <c r="A258" s="41" t="s">
        <v>478</v>
      </c>
      <c r="B258" s="44" t="s">
        <v>479</v>
      </c>
      <c r="C258" s="13">
        <v>1</v>
      </c>
      <c r="D258" s="45">
        <v>8.5</v>
      </c>
      <c r="E258" s="45">
        <v>12.260999999999999</v>
      </c>
      <c r="F258" s="46"/>
      <c r="G258" s="46"/>
      <c r="H258" s="46"/>
      <c r="I258" s="12" t="s">
        <v>3</v>
      </c>
      <c r="J258" s="42">
        <v>8.5</v>
      </c>
      <c r="K258" s="78"/>
    </row>
    <row r="259" spans="1:11" s="43" customFormat="1" ht="23.25" customHeight="1" x14ac:dyDescent="0.25">
      <c r="A259" s="41"/>
      <c r="B259" s="44" t="s">
        <v>480</v>
      </c>
      <c r="C259" s="13">
        <v>1</v>
      </c>
      <c r="D259" s="45">
        <v>12.15</v>
      </c>
      <c r="E259" s="45"/>
      <c r="F259" s="46"/>
      <c r="G259" s="46"/>
      <c r="H259" s="46"/>
      <c r="I259" s="12" t="s">
        <v>3</v>
      </c>
      <c r="J259" s="42">
        <v>12.15</v>
      </c>
      <c r="K259" s="78"/>
    </row>
    <row r="260" spans="1:11" s="43" customFormat="1" ht="23.25" customHeight="1" x14ac:dyDescent="0.25">
      <c r="A260" s="41" t="s">
        <v>481</v>
      </c>
      <c r="B260" s="44" t="s">
        <v>482</v>
      </c>
      <c r="C260" s="13">
        <v>1</v>
      </c>
      <c r="D260" s="45">
        <v>8.5</v>
      </c>
      <c r="E260" s="45">
        <v>10.19</v>
      </c>
      <c r="F260" s="46"/>
      <c r="G260" s="46"/>
      <c r="H260" s="46"/>
      <c r="I260" s="12" t="s">
        <v>3</v>
      </c>
      <c r="J260" s="42">
        <v>8.5</v>
      </c>
      <c r="K260" s="78"/>
    </row>
    <row r="261" spans="1:11" s="43" customFormat="1" ht="23.25" customHeight="1" x14ac:dyDescent="0.25">
      <c r="A261" s="47" t="s">
        <v>483</v>
      </c>
      <c r="B261" s="48" t="s">
        <v>484</v>
      </c>
      <c r="C261" s="16">
        <v>1</v>
      </c>
      <c r="D261" s="49">
        <v>13.662000000000001</v>
      </c>
      <c r="E261" s="49">
        <v>11.196</v>
      </c>
      <c r="F261" s="50"/>
      <c r="G261" s="50"/>
      <c r="H261" s="50"/>
      <c r="I261" s="17" t="s">
        <v>913</v>
      </c>
      <c r="J261" s="51">
        <v>10.130000000000001</v>
      </c>
      <c r="K261" s="78"/>
    </row>
    <row r="262" spans="1:11" s="43" customFormat="1" ht="23.25" customHeight="1" x14ac:dyDescent="0.25">
      <c r="A262" s="104" t="s">
        <v>485</v>
      </c>
      <c r="B262" s="105" t="s">
        <v>486</v>
      </c>
      <c r="C262" s="106">
        <v>1</v>
      </c>
      <c r="D262" s="107">
        <v>8.19</v>
      </c>
      <c r="E262" s="107">
        <f>25.382/3</f>
        <v>8.4606666666666666</v>
      </c>
      <c r="F262" s="108"/>
      <c r="G262" s="108"/>
      <c r="H262" s="108"/>
      <c r="I262" s="109" t="s">
        <v>3</v>
      </c>
      <c r="J262" s="110">
        <v>8.19</v>
      </c>
      <c r="K262" s="78"/>
    </row>
    <row r="263" spans="1:11" s="43" customFormat="1" ht="23.25" customHeight="1" x14ac:dyDescent="0.25">
      <c r="A263" s="104" t="s">
        <v>487</v>
      </c>
      <c r="B263" s="105" t="s">
        <v>488</v>
      </c>
      <c r="C263" s="106">
        <v>24</v>
      </c>
      <c r="D263" s="107">
        <v>0.60299999999999998</v>
      </c>
      <c r="E263" s="107"/>
      <c r="F263" s="108"/>
      <c r="G263" s="108"/>
      <c r="H263" s="108">
        <v>0.625</v>
      </c>
      <c r="I263" s="109" t="s">
        <v>910</v>
      </c>
      <c r="J263" s="110">
        <v>0.57999999999999996</v>
      </c>
      <c r="K263" s="78"/>
    </row>
    <row r="264" spans="1:11" s="43" customFormat="1" ht="23.25" customHeight="1" x14ac:dyDescent="0.25">
      <c r="A264" s="41" t="s">
        <v>489</v>
      </c>
      <c r="B264" s="44" t="s">
        <v>490</v>
      </c>
      <c r="C264" s="13">
        <v>24</v>
      </c>
      <c r="D264" s="45">
        <v>1.054</v>
      </c>
      <c r="E264" s="45"/>
      <c r="F264" s="46"/>
      <c r="G264" s="46"/>
      <c r="H264" s="46">
        <v>1.0649999999999999</v>
      </c>
      <c r="I264" s="12" t="s">
        <v>3</v>
      </c>
      <c r="J264" s="42">
        <v>0.97199999999999998</v>
      </c>
      <c r="K264" s="78"/>
    </row>
    <row r="265" spans="1:11" s="43" customFormat="1" ht="23.25" customHeight="1" x14ac:dyDescent="0.25">
      <c r="A265" s="41" t="s">
        <v>491</v>
      </c>
      <c r="B265" s="44" t="s">
        <v>492</v>
      </c>
      <c r="C265" s="13">
        <v>24</v>
      </c>
      <c r="D265" s="45">
        <v>0.50600000000000001</v>
      </c>
      <c r="E265" s="45"/>
      <c r="F265" s="46"/>
      <c r="G265" s="46"/>
      <c r="H265" s="46">
        <v>0.61</v>
      </c>
      <c r="I265" s="12" t="s">
        <v>3</v>
      </c>
      <c r="J265" s="42">
        <v>0.51</v>
      </c>
      <c r="K265" s="78"/>
    </row>
    <row r="266" spans="1:11" s="43" customFormat="1" ht="23.25" customHeight="1" x14ac:dyDescent="0.25">
      <c r="A266" s="41" t="s">
        <v>493</v>
      </c>
      <c r="B266" s="44" t="s">
        <v>494</v>
      </c>
      <c r="C266" s="13">
        <v>12</v>
      </c>
      <c r="D266" s="45">
        <v>0.97</v>
      </c>
      <c r="E266" s="45"/>
      <c r="F266" s="46"/>
      <c r="G266" s="46"/>
      <c r="H266" s="46">
        <v>1.0649999999999999</v>
      </c>
      <c r="I266" s="12" t="s">
        <v>3</v>
      </c>
      <c r="J266" s="42">
        <v>0.97</v>
      </c>
      <c r="K266" s="78"/>
    </row>
    <row r="267" spans="1:11" s="43" customFormat="1" ht="23.25" customHeight="1" x14ac:dyDescent="0.25">
      <c r="A267" s="52" t="s">
        <v>495</v>
      </c>
      <c r="B267" s="53" t="s">
        <v>496</v>
      </c>
      <c r="C267" s="14">
        <v>1</v>
      </c>
      <c r="D267" s="54"/>
      <c r="E267" s="54">
        <f>4.328</f>
        <v>4.3280000000000003</v>
      </c>
      <c r="F267" s="55">
        <v>3.6</v>
      </c>
      <c r="G267" s="55"/>
      <c r="H267" s="55"/>
      <c r="I267" s="15" t="s">
        <v>918</v>
      </c>
      <c r="J267" s="56">
        <v>3.6</v>
      </c>
      <c r="K267" s="78"/>
    </row>
    <row r="268" spans="1:11" s="43" customFormat="1" ht="23.25" customHeight="1" x14ac:dyDescent="0.25">
      <c r="A268" s="68" t="s">
        <v>497</v>
      </c>
      <c r="B268" s="69" t="s">
        <v>498</v>
      </c>
      <c r="C268" s="21">
        <v>360</v>
      </c>
      <c r="D268" s="70">
        <f>1.65/30*360</f>
        <v>19.8</v>
      </c>
      <c r="E268" s="70">
        <v>48.17</v>
      </c>
      <c r="F268" s="71"/>
      <c r="G268" s="71">
        <v>2.72</v>
      </c>
      <c r="H268" s="71"/>
      <c r="I268" s="18" t="s">
        <v>924</v>
      </c>
      <c r="J268" s="72">
        <v>2.72</v>
      </c>
      <c r="K268" s="78"/>
    </row>
    <row r="269" spans="1:11" s="43" customFormat="1" ht="23.25" customHeight="1" x14ac:dyDescent="0.25">
      <c r="A269" s="47" t="s">
        <v>499</v>
      </c>
      <c r="B269" s="48" t="s">
        <v>500</v>
      </c>
      <c r="C269" s="16">
        <v>1</v>
      </c>
      <c r="D269" s="49">
        <v>1.73</v>
      </c>
      <c r="E269" s="49">
        <v>1.7090000000000001</v>
      </c>
      <c r="F269" s="50"/>
      <c r="G269" s="50"/>
      <c r="H269" s="50">
        <v>1.9</v>
      </c>
      <c r="I269" s="17" t="s">
        <v>913</v>
      </c>
      <c r="J269" s="51">
        <v>1.71</v>
      </c>
      <c r="K269" s="78"/>
    </row>
    <row r="270" spans="1:11" s="43" customFormat="1" ht="23.25" customHeight="1" x14ac:dyDescent="0.25">
      <c r="A270" s="41" t="s">
        <v>501</v>
      </c>
      <c r="B270" s="44" t="s">
        <v>502</v>
      </c>
      <c r="C270" s="13">
        <v>1</v>
      </c>
      <c r="D270" s="45">
        <v>5.42</v>
      </c>
      <c r="E270" s="45">
        <f>7.71</f>
        <v>7.71</v>
      </c>
      <c r="F270" s="46">
        <v>7.5</v>
      </c>
      <c r="G270" s="46"/>
      <c r="H270" s="46"/>
      <c r="I270" s="12" t="s">
        <v>3</v>
      </c>
      <c r="J270" s="42">
        <v>5.42</v>
      </c>
      <c r="K270" s="78"/>
    </row>
    <row r="271" spans="1:11" s="43" customFormat="1" ht="23.25" customHeight="1" x14ac:dyDescent="0.25">
      <c r="A271" s="57" t="s">
        <v>503</v>
      </c>
      <c r="B271" s="58" t="s">
        <v>504</v>
      </c>
      <c r="C271" s="20">
        <v>1</v>
      </c>
      <c r="D271" s="59"/>
      <c r="E271" s="59"/>
      <c r="F271" s="60"/>
      <c r="G271" s="60">
        <v>0.95</v>
      </c>
      <c r="H271" s="60"/>
      <c r="I271" s="19" t="s">
        <v>916</v>
      </c>
      <c r="J271" s="61">
        <v>0.95</v>
      </c>
      <c r="K271" s="78"/>
    </row>
    <row r="272" spans="1:11" s="43" customFormat="1" ht="23.25" customHeight="1" x14ac:dyDescent="0.25">
      <c r="A272" s="57" t="s">
        <v>505</v>
      </c>
      <c r="B272" s="58" t="s">
        <v>506</v>
      </c>
      <c r="C272" s="20">
        <v>1</v>
      </c>
      <c r="D272" s="59"/>
      <c r="E272" s="59"/>
      <c r="F272" s="60"/>
      <c r="G272" s="60">
        <v>1.35</v>
      </c>
      <c r="H272" s="60"/>
      <c r="I272" s="19" t="s">
        <v>916</v>
      </c>
      <c r="J272" s="61">
        <v>1.35</v>
      </c>
      <c r="K272" s="78"/>
    </row>
    <row r="273" spans="1:11" s="43" customFormat="1" ht="23.25" customHeight="1" x14ac:dyDescent="0.25">
      <c r="A273" s="47" t="s">
        <v>507</v>
      </c>
      <c r="B273" s="48" t="s">
        <v>508</v>
      </c>
      <c r="C273" s="16">
        <v>1</v>
      </c>
      <c r="D273" s="49">
        <v>2.61</v>
      </c>
      <c r="E273" s="49">
        <v>2.16</v>
      </c>
      <c r="F273" s="50">
        <v>2.4</v>
      </c>
      <c r="G273" s="50"/>
      <c r="H273" s="50"/>
      <c r="I273" s="17" t="s">
        <v>913</v>
      </c>
      <c r="J273" s="51">
        <v>2.16</v>
      </c>
      <c r="K273" s="78"/>
    </row>
    <row r="274" spans="1:11" s="43" customFormat="1" ht="23.25" customHeight="1" x14ac:dyDescent="0.25">
      <c r="A274" s="57" t="s">
        <v>509</v>
      </c>
      <c r="B274" s="58" t="s">
        <v>510</v>
      </c>
      <c r="C274" s="20">
        <v>1</v>
      </c>
      <c r="D274" s="59"/>
      <c r="E274" s="59"/>
      <c r="F274" s="60"/>
      <c r="G274" s="60">
        <v>1.8</v>
      </c>
      <c r="H274" s="60"/>
      <c r="I274" s="19" t="s">
        <v>916</v>
      </c>
      <c r="J274" s="61">
        <v>1.8</v>
      </c>
      <c r="K274" s="78"/>
    </row>
    <row r="275" spans="1:11" s="43" customFormat="1" ht="23.25" customHeight="1" x14ac:dyDescent="0.25">
      <c r="A275" s="57" t="s">
        <v>511</v>
      </c>
      <c r="B275" s="58" t="s">
        <v>512</v>
      </c>
      <c r="C275" s="20">
        <v>1</v>
      </c>
      <c r="D275" s="59"/>
      <c r="E275" s="59"/>
      <c r="F275" s="60"/>
      <c r="G275" s="60">
        <v>0.99</v>
      </c>
      <c r="H275" s="60"/>
      <c r="I275" s="19" t="s">
        <v>916</v>
      </c>
      <c r="J275" s="61">
        <v>0.99</v>
      </c>
      <c r="K275" s="78"/>
    </row>
    <row r="276" spans="1:11" s="43" customFormat="1" ht="23.25" customHeight="1" x14ac:dyDescent="0.25">
      <c r="A276" s="41" t="s">
        <v>513</v>
      </c>
      <c r="B276" s="44" t="s">
        <v>514</v>
      </c>
      <c r="C276" s="13">
        <v>24</v>
      </c>
      <c r="D276" s="45">
        <v>0.52</v>
      </c>
      <c r="E276" s="45"/>
      <c r="F276" s="46"/>
      <c r="G276" s="46"/>
      <c r="H276" s="46">
        <v>0.68</v>
      </c>
      <c r="I276" s="12" t="s">
        <v>3</v>
      </c>
      <c r="J276" s="42">
        <v>0.52</v>
      </c>
      <c r="K276" s="78"/>
    </row>
    <row r="277" spans="1:11" s="43" customFormat="1" ht="23.25" customHeight="1" x14ac:dyDescent="0.25">
      <c r="A277" s="41" t="s">
        <v>515</v>
      </c>
      <c r="B277" s="44" t="s">
        <v>516</v>
      </c>
      <c r="C277" s="13">
        <v>12</v>
      </c>
      <c r="D277" s="45">
        <v>0.93</v>
      </c>
      <c r="E277" s="45"/>
      <c r="F277" s="46"/>
      <c r="G277" s="46"/>
      <c r="H277" s="46">
        <v>1.1499999999999999</v>
      </c>
      <c r="I277" s="12" t="s">
        <v>3</v>
      </c>
      <c r="J277" s="42">
        <v>0.93</v>
      </c>
      <c r="K277" s="78"/>
    </row>
    <row r="278" spans="1:11" s="43" customFormat="1" ht="23.25" customHeight="1" x14ac:dyDescent="0.25">
      <c r="A278" s="47" t="s">
        <v>517</v>
      </c>
      <c r="B278" s="48" t="s">
        <v>518</v>
      </c>
      <c r="C278" s="16">
        <v>1</v>
      </c>
      <c r="D278" s="49"/>
      <c r="E278" s="49">
        <v>49.926000000000002</v>
      </c>
      <c r="F278" s="50"/>
      <c r="G278" s="50"/>
      <c r="H278" s="50"/>
      <c r="I278" s="17" t="s">
        <v>913</v>
      </c>
      <c r="J278" s="51">
        <v>49.93</v>
      </c>
      <c r="K278" s="78"/>
    </row>
    <row r="279" spans="1:11" s="43" customFormat="1" ht="23.25" customHeight="1" x14ac:dyDescent="0.25">
      <c r="A279" s="41" t="s">
        <v>519</v>
      </c>
      <c r="B279" s="44" t="s">
        <v>520</v>
      </c>
      <c r="C279" s="13">
        <v>1</v>
      </c>
      <c r="D279" s="45">
        <v>10.64</v>
      </c>
      <c r="E279" s="45">
        <v>11.853</v>
      </c>
      <c r="F279" s="46"/>
      <c r="G279" s="46"/>
      <c r="H279" s="46"/>
      <c r="I279" s="12" t="s">
        <v>3</v>
      </c>
      <c r="J279" s="42">
        <v>10.64</v>
      </c>
      <c r="K279" s="78"/>
    </row>
    <row r="280" spans="1:11" s="43" customFormat="1" ht="23.25" customHeight="1" x14ac:dyDescent="0.25">
      <c r="A280" s="47" t="s">
        <v>521</v>
      </c>
      <c r="B280" s="48" t="s">
        <v>522</v>
      </c>
      <c r="C280" s="16">
        <v>1</v>
      </c>
      <c r="D280" s="49">
        <v>13.4</v>
      </c>
      <c r="E280" s="49">
        <v>11.349</v>
      </c>
      <c r="F280" s="50"/>
      <c r="G280" s="50"/>
      <c r="H280" s="50"/>
      <c r="I280" s="17" t="s">
        <v>913</v>
      </c>
      <c r="J280" s="51">
        <v>11.349</v>
      </c>
      <c r="K280" s="78"/>
    </row>
    <row r="281" spans="1:11" s="43" customFormat="1" ht="23.25" customHeight="1" x14ac:dyDescent="0.25">
      <c r="A281" s="95"/>
      <c r="B281" s="98" t="s">
        <v>523</v>
      </c>
      <c r="C281" s="99">
        <v>1</v>
      </c>
      <c r="D281" s="100"/>
      <c r="E281" s="100"/>
      <c r="F281" s="101"/>
      <c r="G281" s="101">
        <f>+'REVENTE - PAP PARIS'!D18</f>
        <v>0.11812625000000002</v>
      </c>
      <c r="H281" s="101"/>
      <c r="I281" s="96" t="s">
        <v>919</v>
      </c>
      <c r="J281" s="97">
        <f>+G281</f>
        <v>0.11812625000000002</v>
      </c>
      <c r="K281" s="78"/>
    </row>
    <row r="282" spans="1:11" s="43" customFormat="1" ht="23.25" customHeight="1" x14ac:dyDescent="0.25">
      <c r="A282" s="47" t="s">
        <v>524</v>
      </c>
      <c r="B282" s="48" t="s">
        <v>525</v>
      </c>
      <c r="C282" s="16">
        <v>1</v>
      </c>
      <c r="D282" s="49">
        <v>65.293999999999997</v>
      </c>
      <c r="E282" s="49">
        <v>62.66</v>
      </c>
      <c r="F282" s="50"/>
      <c r="G282" s="50"/>
      <c r="H282" s="50"/>
      <c r="I282" s="17" t="s">
        <v>913</v>
      </c>
      <c r="J282" s="51">
        <v>55.74</v>
      </c>
      <c r="K282" s="78"/>
    </row>
    <row r="283" spans="1:11" s="43" customFormat="1" ht="23.25" customHeight="1" x14ac:dyDescent="0.25">
      <c r="A283" s="41" t="s">
        <v>526</v>
      </c>
      <c r="B283" s="44" t="s">
        <v>527</v>
      </c>
      <c r="C283" s="13">
        <v>1</v>
      </c>
      <c r="D283" s="45">
        <v>30.783000000000001</v>
      </c>
      <c r="E283" s="45">
        <v>35.595999999999997</v>
      </c>
      <c r="F283" s="46"/>
      <c r="G283" s="46"/>
      <c r="H283" s="46"/>
      <c r="I283" s="12" t="s">
        <v>3</v>
      </c>
      <c r="J283" s="42">
        <v>30.78</v>
      </c>
      <c r="K283" s="78"/>
    </row>
    <row r="284" spans="1:11" s="43" customFormat="1" ht="23.25" customHeight="1" x14ac:dyDescent="0.25">
      <c r="A284" s="41" t="s">
        <v>528</v>
      </c>
      <c r="B284" s="44" t="s">
        <v>529</v>
      </c>
      <c r="C284" s="13">
        <v>1</v>
      </c>
      <c r="D284" s="45">
        <v>61.579000000000001</v>
      </c>
      <c r="E284" s="45">
        <v>47.12</v>
      </c>
      <c r="F284" s="46"/>
      <c r="G284" s="46"/>
      <c r="H284" s="46"/>
      <c r="I284" s="12" t="s">
        <v>3</v>
      </c>
      <c r="J284" s="42">
        <v>58.5</v>
      </c>
      <c r="K284" s="78"/>
    </row>
    <row r="285" spans="1:11" s="43" customFormat="1" ht="23.25" customHeight="1" x14ac:dyDescent="0.25">
      <c r="A285" s="41" t="s">
        <v>530</v>
      </c>
      <c r="B285" s="44" t="s">
        <v>531</v>
      </c>
      <c r="C285" s="13">
        <v>1</v>
      </c>
      <c r="D285" s="45">
        <v>30.314</v>
      </c>
      <c r="E285" s="45">
        <v>32.9</v>
      </c>
      <c r="F285" s="46"/>
      <c r="G285" s="46"/>
      <c r="H285" s="46"/>
      <c r="I285" s="12" t="s">
        <v>3</v>
      </c>
      <c r="J285" s="42">
        <v>30.31</v>
      </c>
      <c r="K285" s="78"/>
    </row>
    <row r="286" spans="1:11" s="43" customFormat="1" ht="23.25" customHeight="1" x14ac:dyDescent="0.25">
      <c r="A286" s="41" t="s">
        <v>532</v>
      </c>
      <c r="B286" s="44" t="s">
        <v>533</v>
      </c>
      <c r="C286" s="13">
        <v>1</v>
      </c>
      <c r="D286" s="45">
        <v>16.5</v>
      </c>
      <c r="E286" s="45">
        <v>28.35</v>
      </c>
      <c r="F286" s="46"/>
      <c r="G286" s="46"/>
      <c r="H286" s="46"/>
      <c r="I286" s="12" t="s">
        <v>3</v>
      </c>
      <c r="J286" s="42">
        <v>16.5</v>
      </c>
      <c r="K286" s="78"/>
    </row>
    <row r="287" spans="1:11" s="43" customFormat="1" ht="23.25" customHeight="1" x14ac:dyDescent="0.25">
      <c r="A287" s="104" t="s">
        <v>534</v>
      </c>
      <c r="B287" s="105" t="s">
        <v>535</v>
      </c>
      <c r="C287" s="106">
        <v>100</v>
      </c>
      <c r="D287" s="107">
        <v>0.34</v>
      </c>
      <c r="E287" s="107">
        <v>0.36</v>
      </c>
      <c r="F287" s="108"/>
      <c r="G287" s="108"/>
      <c r="H287" s="108">
        <v>0.3</v>
      </c>
      <c r="I287" s="109" t="s">
        <v>910</v>
      </c>
      <c r="J287" s="110">
        <v>0.3</v>
      </c>
      <c r="K287" s="78"/>
    </row>
    <row r="288" spans="1:11" s="43" customFormat="1" ht="23.25" customHeight="1" x14ac:dyDescent="0.25">
      <c r="A288" s="41" t="s">
        <v>536</v>
      </c>
      <c r="B288" s="44" t="s">
        <v>537</v>
      </c>
      <c r="C288" s="13">
        <v>500</v>
      </c>
      <c r="D288" s="45">
        <v>20</v>
      </c>
      <c r="E288" s="45">
        <v>21.15</v>
      </c>
      <c r="F288" s="46"/>
      <c r="G288" s="46"/>
      <c r="H288" s="46"/>
      <c r="I288" s="12" t="s">
        <v>3</v>
      </c>
      <c r="J288" s="42">
        <v>20</v>
      </c>
      <c r="K288" s="78"/>
    </row>
    <row r="289" spans="1:11" s="43" customFormat="1" ht="23.25" customHeight="1" x14ac:dyDescent="0.25">
      <c r="A289" s="41" t="s">
        <v>538</v>
      </c>
      <c r="B289" s="44" t="s">
        <v>539</v>
      </c>
      <c r="C289" s="13">
        <v>1</v>
      </c>
      <c r="D289" s="45">
        <v>9.15</v>
      </c>
      <c r="E289" s="45"/>
      <c r="F289" s="46">
        <v>9.8000000000000007</v>
      </c>
      <c r="G289" s="46"/>
      <c r="H289" s="46"/>
      <c r="I289" s="12" t="s">
        <v>3</v>
      </c>
      <c r="J289" s="42">
        <v>9.15</v>
      </c>
      <c r="K289" s="78"/>
    </row>
    <row r="290" spans="1:11" s="43" customFormat="1" ht="23.25" customHeight="1" x14ac:dyDescent="0.25">
      <c r="A290" s="95"/>
      <c r="B290" s="98" t="s">
        <v>540</v>
      </c>
      <c r="C290" s="99">
        <v>1</v>
      </c>
      <c r="D290" s="100"/>
      <c r="E290" s="100"/>
      <c r="F290" s="101"/>
      <c r="G290" s="101">
        <f>+OUTILS!L40</f>
        <v>1.2301507936507937E-2</v>
      </c>
      <c r="H290" s="101"/>
      <c r="I290" s="96" t="s">
        <v>919</v>
      </c>
      <c r="J290" s="97">
        <f>+G290</f>
        <v>1.2301507936507937E-2</v>
      </c>
      <c r="K290" s="78"/>
    </row>
    <row r="291" spans="1:11" s="43" customFormat="1" ht="23.25" customHeight="1" x14ac:dyDescent="0.25">
      <c r="A291" s="95"/>
      <c r="B291" s="98" t="s">
        <v>541</v>
      </c>
      <c r="C291" s="99">
        <v>1</v>
      </c>
      <c r="D291" s="100"/>
      <c r="E291" s="100"/>
      <c r="F291" s="101"/>
      <c r="G291" s="101">
        <v>1.91</v>
      </c>
      <c r="H291" s="101"/>
      <c r="I291" s="96" t="s">
        <v>919</v>
      </c>
      <c r="J291" s="97">
        <v>1.91</v>
      </c>
      <c r="K291" s="78"/>
    </row>
    <row r="292" spans="1:11" s="43" customFormat="1" ht="23.25" customHeight="1" x14ac:dyDescent="0.25">
      <c r="A292" s="47" t="s">
        <v>542</v>
      </c>
      <c r="B292" s="48" t="s">
        <v>543</v>
      </c>
      <c r="C292" s="16">
        <v>1</v>
      </c>
      <c r="D292" s="49">
        <v>36.57</v>
      </c>
      <c r="E292" s="49">
        <f>10.5*3</f>
        <v>31.5</v>
      </c>
      <c r="F292" s="50"/>
      <c r="G292" s="50"/>
      <c r="H292" s="50"/>
      <c r="I292" s="17" t="s">
        <v>913</v>
      </c>
      <c r="J292" s="51">
        <v>31.5</v>
      </c>
      <c r="K292" s="78"/>
    </row>
    <row r="293" spans="1:11" s="43" customFormat="1" ht="23.25" customHeight="1" x14ac:dyDescent="0.25">
      <c r="A293" s="47" t="s">
        <v>544</v>
      </c>
      <c r="B293" s="48" t="s">
        <v>545</v>
      </c>
      <c r="C293" s="16">
        <v>1</v>
      </c>
      <c r="D293" s="49">
        <v>11.941000000000001</v>
      </c>
      <c r="E293" s="49">
        <v>10.653</v>
      </c>
      <c r="F293" s="50"/>
      <c r="G293" s="50"/>
      <c r="H293" s="50"/>
      <c r="I293" s="17" t="s">
        <v>913</v>
      </c>
      <c r="J293" s="51">
        <v>10.65</v>
      </c>
      <c r="K293" s="78"/>
    </row>
    <row r="294" spans="1:11" s="43" customFormat="1" ht="23.25" customHeight="1" x14ac:dyDescent="0.25">
      <c r="A294" s="41" t="s">
        <v>546</v>
      </c>
      <c r="B294" s="44" t="s">
        <v>547</v>
      </c>
      <c r="C294" s="13">
        <v>1</v>
      </c>
      <c r="D294" s="45">
        <v>4.79</v>
      </c>
      <c r="E294" s="45">
        <v>6.09</v>
      </c>
      <c r="F294" s="46"/>
      <c r="G294" s="46"/>
      <c r="H294" s="46"/>
      <c r="I294" s="12" t="s">
        <v>3</v>
      </c>
      <c r="J294" s="42">
        <v>4.79</v>
      </c>
      <c r="K294" s="78"/>
    </row>
    <row r="295" spans="1:11" s="43" customFormat="1" ht="23.25" customHeight="1" x14ac:dyDescent="0.25">
      <c r="A295" s="85" t="s">
        <v>548</v>
      </c>
      <c r="B295" s="88" t="s">
        <v>549</v>
      </c>
      <c r="C295" s="89">
        <v>1</v>
      </c>
      <c r="D295" s="90"/>
      <c r="E295" s="90"/>
      <c r="F295" s="91"/>
      <c r="G295" s="91">
        <f>+OUTILS!D40</f>
        <v>0.47273529411764703</v>
      </c>
      <c r="H295" s="91"/>
      <c r="I295" s="86" t="s">
        <v>919</v>
      </c>
      <c r="J295" s="87">
        <f>+G295</f>
        <v>0.47273529411764703</v>
      </c>
      <c r="K295" s="78"/>
    </row>
    <row r="296" spans="1:11" s="43" customFormat="1" ht="23.25" customHeight="1" x14ac:dyDescent="0.25">
      <c r="A296" s="85" t="s">
        <v>550</v>
      </c>
      <c r="B296" s="88" t="s">
        <v>551</v>
      </c>
      <c r="C296" s="89">
        <v>1</v>
      </c>
      <c r="D296" s="90"/>
      <c r="E296" s="90"/>
      <c r="F296" s="91"/>
      <c r="G296" s="91">
        <f>+OUTILS!L18</f>
        <v>3.0069698708751798</v>
      </c>
      <c r="H296" s="91"/>
      <c r="I296" s="86" t="s">
        <v>919</v>
      </c>
      <c r="J296" s="87">
        <f>+G296</f>
        <v>3.0069698708751798</v>
      </c>
      <c r="K296" s="78"/>
    </row>
    <row r="297" spans="1:11" s="43" customFormat="1" ht="23.25" customHeight="1" x14ac:dyDescent="0.25">
      <c r="A297" s="85" t="s">
        <v>552</v>
      </c>
      <c r="B297" s="88" t="s">
        <v>553</v>
      </c>
      <c r="C297" s="89">
        <v>1</v>
      </c>
      <c r="D297" s="90"/>
      <c r="E297" s="90"/>
      <c r="F297" s="91"/>
      <c r="G297" s="91">
        <f>+'PAIN - PAP PARIS'!H18</f>
        <v>0.11275431235431235</v>
      </c>
      <c r="H297" s="91"/>
      <c r="I297" s="86" t="s">
        <v>919</v>
      </c>
      <c r="J297" s="87">
        <f>+G297</f>
        <v>0.11275431235431235</v>
      </c>
      <c r="K297" s="78"/>
    </row>
    <row r="298" spans="1:11" s="43" customFormat="1" ht="23.25" customHeight="1" x14ac:dyDescent="0.25">
      <c r="A298" s="104" t="s">
        <v>554</v>
      </c>
      <c r="B298" s="105" t="s">
        <v>555</v>
      </c>
      <c r="C298" s="106">
        <v>1</v>
      </c>
      <c r="D298" s="107">
        <v>54.91</v>
      </c>
      <c r="E298" s="107">
        <v>47.424999999999997</v>
      </c>
      <c r="F298" s="108"/>
      <c r="G298" s="108"/>
      <c r="H298" s="108">
        <v>43.9</v>
      </c>
      <c r="I298" s="109" t="s">
        <v>910</v>
      </c>
      <c r="J298" s="110">
        <v>43.9</v>
      </c>
      <c r="K298" s="78"/>
    </row>
    <row r="299" spans="1:11" s="43" customFormat="1" ht="23.25" customHeight="1" x14ac:dyDescent="0.25">
      <c r="A299" s="41" t="s">
        <v>556</v>
      </c>
      <c r="B299" s="44" t="s">
        <v>557</v>
      </c>
      <c r="C299" s="13">
        <v>1</v>
      </c>
      <c r="D299" s="45">
        <v>117.12</v>
      </c>
      <c r="E299" s="45"/>
      <c r="F299" s="46"/>
      <c r="G299" s="46"/>
      <c r="H299" s="46"/>
      <c r="I299" s="12" t="s">
        <v>3</v>
      </c>
      <c r="J299" s="42">
        <v>117.12</v>
      </c>
      <c r="K299" s="78"/>
    </row>
    <row r="300" spans="1:11" s="43" customFormat="1" ht="23.25" customHeight="1" x14ac:dyDescent="0.25">
      <c r="A300" s="41" t="s">
        <v>558</v>
      </c>
      <c r="B300" s="44" t="s">
        <v>559</v>
      </c>
      <c r="C300" s="13">
        <v>1</v>
      </c>
      <c r="D300" s="45">
        <v>1.7</v>
      </c>
      <c r="E300" s="45">
        <v>2.9</v>
      </c>
      <c r="F300" s="46">
        <v>1.95</v>
      </c>
      <c r="G300" s="46"/>
      <c r="H300" s="46"/>
      <c r="I300" s="12" t="s">
        <v>3</v>
      </c>
      <c r="J300" s="42">
        <v>1.7</v>
      </c>
      <c r="K300" s="78"/>
    </row>
    <row r="301" spans="1:11" s="43" customFormat="1" ht="23.25" customHeight="1" x14ac:dyDescent="0.25">
      <c r="A301" s="104" t="s">
        <v>560</v>
      </c>
      <c r="B301" s="105" t="s">
        <v>561</v>
      </c>
      <c r="C301" s="106">
        <v>24</v>
      </c>
      <c r="D301" s="107">
        <v>0.56799999999999995</v>
      </c>
      <c r="E301" s="107"/>
      <c r="F301" s="108"/>
      <c r="G301" s="108">
        <v>0.64</v>
      </c>
      <c r="H301" s="108">
        <v>0.56499999999999995</v>
      </c>
      <c r="I301" s="109" t="s">
        <v>910</v>
      </c>
      <c r="J301" s="110">
        <v>0.56599999999999995</v>
      </c>
      <c r="K301" s="78"/>
    </row>
    <row r="302" spans="1:11" s="43" customFormat="1" ht="23.25" customHeight="1" x14ac:dyDescent="0.25">
      <c r="A302" s="52"/>
      <c r="B302" s="53" t="s">
        <v>562</v>
      </c>
      <c r="C302" s="14"/>
      <c r="D302" s="54"/>
      <c r="E302" s="54"/>
      <c r="F302" s="55">
        <v>4.95</v>
      </c>
      <c r="G302" s="55"/>
      <c r="H302" s="55"/>
      <c r="I302" s="15" t="s">
        <v>918</v>
      </c>
      <c r="J302" s="56">
        <v>4.95</v>
      </c>
      <c r="K302" s="78"/>
    </row>
    <row r="303" spans="1:11" s="43" customFormat="1" ht="23.25" customHeight="1" x14ac:dyDescent="0.25">
      <c r="A303" s="52" t="s">
        <v>563</v>
      </c>
      <c r="B303" s="53" t="s">
        <v>564</v>
      </c>
      <c r="C303" s="14">
        <v>1</v>
      </c>
      <c r="D303" s="54"/>
      <c r="E303" s="54"/>
      <c r="F303" s="55">
        <v>14.95</v>
      </c>
      <c r="G303" s="55"/>
      <c r="H303" s="55"/>
      <c r="I303" s="15" t="s">
        <v>918</v>
      </c>
      <c r="J303" s="56">
        <v>14.95</v>
      </c>
      <c r="K303" s="78"/>
    </row>
    <row r="304" spans="1:11" s="43" customFormat="1" ht="23.25" customHeight="1" x14ac:dyDescent="0.25">
      <c r="A304" s="52" t="s">
        <v>565</v>
      </c>
      <c r="B304" s="53" t="s">
        <v>566</v>
      </c>
      <c r="C304" s="14">
        <v>1</v>
      </c>
      <c r="D304" s="54">
        <v>11.102</v>
      </c>
      <c r="E304" s="54">
        <v>13.558</v>
      </c>
      <c r="F304" s="55">
        <v>10.050000000000001</v>
      </c>
      <c r="G304" s="55"/>
      <c r="H304" s="55">
        <v>10.050000000000001</v>
      </c>
      <c r="I304" s="15" t="s">
        <v>918</v>
      </c>
      <c r="J304" s="56">
        <v>10.050000000000001</v>
      </c>
      <c r="K304" s="78"/>
    </row>
    <row r="305" spans="1:11" s="43" customFormat="1" ht="23.25" customHeight="1" x14ac:dyDescent="0.25">
      <c r="A305" s="52" t="s">
        <v>567</v>
      </c>
      <c r="B305" s="53" t="s">
        <v>568</v>
      </c>
      <c r="C305" s="14">
        <v>1</v>
      </c>
      <c r="D305" s="54">
        <v>6.22</v>
      </c>
      <c r="E305" s="54">
        <v>7.08</v>
      </c>
      <c r="F305" s="55">
        <v>5.99</v>
      </c>
      <c r="G305" s="55"/>
      <c r="H305" s="55"/>
      <c r="I305" s="15" t="s">
        <v>918</v>
      </c>
      <c r="J305" s="56">
        <v>5.99</v>
      </c>
      <c r="K305" s="78"/>
    </row>
    <row r="306" spans="1:11" s="43" customFormat="1" ht="23.25" customHeight="1" x14ac:dyDescent="0.25">
      <c r="A306" s="41" t="s">
        <v>569</v>
      </c>
      <c r="B306" s="44" t="s">
        <v>570</v>
      </c>
      <c r="C306" s="13">
        <v>1</v>
      </c>
      <c r="D306" s="45">
        <v>5.08</v>
      </c>
      <c r="E306" s="45"/>
      <c r="F306" s="46"/>
      <c r="G306" s="46"/>
      <c r="H306" s="46"/>
      <c r="I306" s="12" t="s">
        <v>3</v>
      </c>
      <c r="J306" s="42">
        <v>5.08</v>
      </c>
      <c r="K306" s="78"/>
    </row>
    <row r="307" spans="1:11" s="43" customFormat="1" ht="23.25" customHeight="1" x14ac:dyDescent="0.25">
      <c r="A307" s="41" t="s">
        <v>571</v>
      </c>
      <c r="B307" s="44" t="s">
        <v>572</v>
      </c>
      <c r="C307" s="13">
        <v>1</v>
      </c>
      <c r="D307" s="45">
        <v>6.36</v>
      </c>
      <c r="E307" s="45"/>
      <c r="F307" s="46"/>
      <c r="G307" s="46"/>
      <c r="H307" s="46"/>
      <c r="I307" s="12" t="s">
        <v>3</v>
      </c>
      <c r="J307" s="42">
        <v>6.36</v>
      </c>
      <c r="K307" s="78"/>
    </row>
    <row r="308" spans="1:11" s="43" customFormat="1" ht="23.25" customHeight="1" x14ac:dyDescent="0.25">
      <c r="A308" s="104" t="s">
        <v>573</v>
      </c>
      <c r="B308" s="105" t="s">
        <v>574</v>
      </c>
      <c r="C308" s="106">
        <v>100</v>
      </c>
      <c r="D308" s="107">
        <v>11</v>
      </c>
      <c r="E308" s="107">
        <v>8.8800000000000008</v>
      </c>
      <c r="F308" s="108"/>
      <c r="G308" s="108"/>
      <c r="H308" s="108">
        <v>6</v>
      </c>
      <c r="I308" s="109" t="s">
        <v>910</v>
      </c>
      <c r="J308" s="110">
        <v>6</v>
      </c>
      <c r="K308" s="78"/>
    </row>
    <row r="309" spans="1:11" s="43" customFormat="1" ht="23.25" customHeight="1" x14ac:dyDescent="0.25">
      <c r="A309" s="47" t="s">
        <v>575</v>
      </c>
      <c r="B309" s="48" t="s">
        <v>576</v>
      </c>
      <c r="C309" s="16">
        <v>1</v>
      </c>
      <c r="D309" s="49"/>
      <c r="E309" s="49">
        <v>28.826000000000001</v>
      </c>
      <c r="F309" s="50"/>
      <c r="G309" s="50"/>
      <c r="H309" s="50"/>
      <c r="I309" s="17" t="s">
        <v>913</v>
      </c>
      <c r="J309" s="51">
        <v>28.83</v>
      </c>
      <c r="K309" s="78"/>
    </row>
    <row r="310" spans="1:11" s="43" customFormat="1" ht="23.25" customHeight="1" x14ac:dyDescent="0.25">
      <c r="A310" s="41" t="s">
        <v>577</v>
      </c>
      <c r="B310" s="44" t="s">
        <v>578</v>
      </c>
      <c r="C310" s="13">
        <v>1</v>
      </c>
      <c r="D310" s="45">
        <v>76.5</v>
      </c>
      <c r="E310" s="45">
        <f>34.1*3</f>
        <v>102.30000000000001</v>
      </c>
      <c r="F310" s="46"/>
      <c r="G310" s="46"/>
      <c r="H310" s="46"/>
      <c r="I310" s="12" t="s">
        <v>3</v>
      </c>
      <c r="J310" s="42">
        <v>76.5</v>
      </c>
      <c r="K310" s="78"/>
    </row>
    <row r="311" spans="1:11" s="43" customFormat="1" ht="23.25" customHeight="1" x14ac:dyDescent="0.25">
      <c r="A311" s="104" t="s">
        <v>579</v>
      </c>
      <c r="B311" s="105" t="s">
        <v>580</v>
      </c>
      <c r="C311" s="106">
        <v>5</v>
      </c>
      <c r="D311" s="107">
        <v>6.05</v>
      </c>
      <c r="E311" s="107">
        <v>4.78</v>
      </c>
      <c r="F311" s="108"/>
      <c r="G311" s="108"/>
      <c r="H311" s="108">
        <v>4.1900000000000004</v>
      </c>
      <c r="I311" s="109" t="s">
        <v>910</v>
      </c>
      <c r="J311" s="110">
        <v>4.1900000000000004</v>
      </c>
      <c r="K311" s="78"/>
    </row>
    <row r="312" spans="1:11" s="43" customFormat="1" ht="23.25" customHeight="1" x14ac:dyDescent="0.25">
      <c r="A312" s="104" t="s">
        <v>581</v>
      </c>
      <c r="B312" s="105" t="s">
        <v>582</v>
      </c>
      <c r="C312" s="106">
        <v>25</v>
      </c>
      <c r="D312" s="107">
        <v>0.79</v>
      </c>
      <c r="E312" s="107">
        <v>0.71</v>
      </c>
      <c r="F312" s="108"/>
      <c r="G312" s="108"/>
      <c r="H312" s="108">
        <f>15.85/25</f>
        <v>0.63400000000000001</v>
      </c>
      <c r="I312" s="109" t="s">
        <v>910</v>
      </c>
      <c r="J312" s="110">
        <v>15.85</v>
      </c>
      <c r="K312" s="78"/>
    </row>
    <row r="313" spans="1:11" s="43" customFormat="1" ht="23.25" customHeight="1" x14ac:dyDescent="0.25">
      <c r="A313" s="41" t="s">
        <v>583</v>
      </c>
      <c r="B313" s="44" t="s">
        <v>584</v>
      </c>
      <c r="C313" s="13">
        <v>100</v>
      </c>
      <c r="D313" s="45">
        <v>5.45</v>
      </c>
      <c r="E313" s="45"/>
      <c r="F313" s="46"/>
      <c r="G313" s="46"/>
      <c r="H313" s="46"/>
      <c r="I313" s="12" t="s">
        <v>3</v>
      </c>
      <c r="J313" s="42">
        <v>5.45</v>
      </c>
      <c r="K313" s="78"/>
    </row>
    <row r="314" spans="1:11" s="43" customFormat="1" ht="23.25" customHeight="1" x14ac:dyDescent="0.25">
      <c r="A314" s="41" t="s">
        <v>585</v>
      </c>
      <c r="B314" s="44" t="s">
        <v>586</v>
      </c>
      <c r="C314" s="13">
        <v>100</v>
      </c>
      <c r="D314" s="45">
        <v>6.5</v>
      </c>
      <c r="E314" s="45"/>
      <c r="F314" s="46"/>
      <c r="G314" s="46"/>
      <c r="H314" s="46"/>
      <c r="I314" s="12" t="s">
        <v>3</v>
      </c>
      <c r="J314" s="42">
        <v>6.5</v>
      </c>
      <c r="K314" s="78"/>
    </row>
    <row r="315" spans="1:11" s="43" customFormat="1" ht="23.25" customHeight="1" x14ac:dyDescent="0.25">
      <c r="A315" s="41" t="s">
        <v>587</v>
      </c>
      <c r="B315" s="44" t="s">
        <v>588</v>
      </c>
      <c r="C315" s="13">
        <v>100</v>
      </c>
      <c r="D315" s="45">
        <v>6.98</v>
      </c>
      <c r="E315" s="45"/>
      <c r="F315" s="46"/>
      <c r="G315" s="46"/>
      <c r="H315" s="46"/>
      <c r="I315" s="12" t="s">
        <v>3</v>
      </c>
      <c r="J315" s="42">
        <v>6.98</v>
      </c>
      <c r="K315" s="78"/>
    </row>
    <row r="316" spans="1:11" s="43" customFormat="1" ht="23.25" customHeight="1" x14ac:dyDescent="0.25">
      <c r="A316" s="41" t="s">
        <v>589</v>
      </c>
      <c r="B316" s="44" t="s">
        <v>590</v>
      </c>
      <c r="C316" s="13">
        <v>100</v>
      </c>
      <c r="D316" s="45">
        <v>10.34</v>
      </c>
      <c r="E316" s="45"/>
      <c r="F316" s="46"/>
      <c r="G316" s="46"/>
      <c r="H316" s="46"/>
      <c r="I316" s="12" t="s">
        <v>3</v>
      </c>
      <c r="J316" s="42">
        <v>10.34</v>
      </c>
      <c r="K316" s="78"/>
    </row>
    <row r="317" spans="1:11" s="43" customFormat="1" ht="23.25" customHeight="1" x14ac:dyDescent="0.25">
      <c r="A317" s="41" t="s">
        <v>591</v>
      </c>
      <c r="B317" s="44" t="s">
        <v>592</v>
      </c>
      <c r="C317" s="13">
        <v>100</v>
      </c>
      <c r="D317" s="45">
        <v>11.28</v>
      </c>
      <c r="E317" s="45"/>
      <c r="F317" s="46"/>
      <c r="G317" s="46"/>
      <c r="H317" s="46"/>
      <c r="I317" s="12" t="s">
        <v>3</v>
      </c>
      <c r="J317" s="42">
        <v>11.28</v>
      </c>
      <c r="K317" s="78"/>
    </row>
    <row r="318" spans="1:11" s="43" customFormat="1" ht="23.25" customHeight="1" x14ac:dyDescent="0.25">
      <c r="A318" s="41" t="s">
        <v>593</v>
      </c>
      <c r="B318" s="44" t="s">
        <v>594</v>
      </c>
      <c r="C318" s="13">
        <v>100</v>
      </c>
      <c r="D318" s="45">
        <v>13.74</v>
      </c>
      <c r="E318" s="45"/>
      <c r="F318" s="46"/>
      <c r="G318" s="46"/>
      <c r="H318" s="46"/>
      <c r="I318" s="12" t="s">
        <v>3</v>
      </c>
      <c r="J318" s="42">
        <v>13.74</v>
      </c>
      <c r="K318" s="78"/>
    </row>
    <row r="319" spans="1:11" s="43" customFormat="1" ht="23.25" customHeight="1" x14ac:dyDescent="0.25">
      <c r="A319" s="104" t="s">
        <v>595</v>
      </c>
      <c r="B319" s="105" t="s">
        <v>596</v>
      </c>
      <c r="C319" s="106">
        <v>100</v>
      </c>
      <c r="D319" s="107">
        <v>6.65</v>
      </c>
      <c r="E319" s="107">
        <v>6.67</v>
      </c>
      <c r="F319" s="108"/>
      <c r="G319" s="108"/>
      <c r="H319" s="108">
        <v>5.69</v>
      </c>
      <c r="I319" s="109" t="s">
        <v>910</v>
      </c>
      <c r="J319" s="110">
        <v>5.69</v>
      </c>
      <c r="K319" s="78"/>
    </row>
    <row r="320" spans="1:11" s="43" customFormat="1" ht="23.25" customHeight="1" x14ac:dyDescent="0.25">
      <c r="A320" s="104" t="s">
        <v>597</v>
      </c>
      <c r="B320" s="105" t="s">
        <v>598</v>
      </c>
      <c r="C320" s="106">
        <v>100</v>
      </c>
      <c r="D320" s="107">
        <v>8.3000000000000007</v>
      </c>
      <c r="E320" s="107">
        <v>8.423</v>
      </c>
      <c r="F320" s="108"/>
      <c r="G320" s="108"/>
      <c r="H320" s="108">
        <v>6.39</v>
      </c>
      <c r="I320" s="109" t="s">
        <v>910</v>
      </c>
      <c r="J320" s="110">
        <v>6.39</v>
      </c>
      <c r="K320" s="78"/>
    </row>
    <row r="321" spans="1:11" s="43" customFormat="1" ht="23.25" customHeight="1" x14ac:dyDescent="0.25">
      <c r="A321" s="104" t="s">
        <v>599</v>
      </c>
      <c r="B321" s="105" t="s">
        <v>600</v>
      </c>
      <c r="C321" s="106">
        <v>100</v>
      </c>
      <c r="D321" s="107">
        <v>9.66</v>
      </c>
      <c r="E321" s="107">
        <v>9.9969999999999999</v>
      </c>
      <c r="F321" s="108"/>
      <c r="G321" s="108"/>
      <c r="H321" s="108">
        <v>7.59</v>
      </c>
      <c r="I321" s="109" t="s">
        <v>910</v>
      </c>
      <c r="J321" s="110">
        <v>7.59</v>
      </c>
      <c r="K321" s="78"/>
    </row>
    <row r="322" spans="1:11" s="43" customFormat="1" ht="23.25" customHeight="1" x14ac:dyDescent="0.25">
      <c r="A322" s="104" t="s">
        <v>601</v>
      </c>
      <c r="B322" s="105" t="s">
        <v>602</v>
      </c>
      <c r="C322" s="106">
        <v>100</v>
      </c>
      <c r="D322" s="107">
        <v>11.3</v>
      </c>
      <c r="E322" s="107">
        <v>11.744999999999999</v>
      </c>
      <c r="F322" s="108"/>
      <c r="G322" s="108"/>
      <c r="H322" s="108">
        <v>8.85</v>
      </c>
      <c r="I322" s="109" t="s">
        <v>910</v>
      </c>
      <c r="J322" s="110">
        <v>8.85</v>
      </c>
      <c r="K322" s="78"/>
    </row>
    <row r="323" spans="1:11" s="43" customFormat="1" ht="23.25" customHeight="1" x14ac:dyDescent="0.25">
      <c r="A323" s="104" t="s">
        <v>603</v>
      </c>
      <c r="B323" s="105" t="s">
        <v>604</v>
      </c>
      <c r="C323" s="106">
        <v>100</v>
      </c>
      <c r="D323" s="107">
        <v>13.24</v>
      </c>
      <c r="E323" s="107">
        <v>14.04</v>
      </c>
      <c r="F323" s="108"/>
      <c r="G323" s="108"/>
      <c r="H323" s="108">
        <v>11.65</v>
      </c>
      <c r="I323" s="109" t="s">
        <v>910</v>
      </c>
      <c r="J323" s="110">
        <v>11.65</v>
      </c>
      <c r="K323" s="78"/>
    </row>
    <row r="324" spans="1:11" s="43" customFormat="1" ht="23.25" customHeight="1" x14ac:dyDescent="0.25">
      <c r="A324" s="104" t="s">
        <v>605</v>
      </c>
      <c r="B324" s="105" t="s">
        <v>606</v>
      </c>
      <c r="C324" s="106">
        <v>100</v>
      </c>
      <c r="D324" s="107">
        <v>15.23</v>
      </c>
      <c r="E324" s="107">
        <v>16.62</v>
      </c>
      <c r="F324" s="108"/>
      <c r="G324" s="108"/>
      <c r="H324" s="108">
        <v>13.49</v>
      </c>
      <c r="I324" s="109" t="s">
        <v>910</v>
      </c>
      <c r="J324" s="110">
        <v>13.49</v>
      </c>
      <c r="K324" s="78"/>
    </row>
    <row r="325" spans="1:11" s="43" customFormat="1" ht="23.25" customHeight="1" x14ac:dyDescent="0.25">
      <c r="A325" s="104" t="s">
        <v>607</v>
      </c>
      <c r="B325" s="105" t="s">
        <v>608</v>
      </c>
      <c r="C325" s="106">
        <v>100</v>
      </c>
      <c r="D325" s="107">
        <v>21.5</v>
      </c>
      <c r="E325" s="107">
        <v>20.47</v>
      </c>
      <c r="F325" s="108"/>
      <c r="G325" s="108"/>
      <c r="H325" s="108">
        <v>17.59</v>
      </c>
      <c r="I325" s="109" t="s">
        <v>910</v>
      </c>
      <c r="J325" s="110">
        <v>17.59</v>
      </c>
      <c r="K325" s="78"/>
    </row>
    <row r="326" spans="1:11" s="43" customFormat="1" ht="23.25" customHeight="1" x14ac:dyDescent="0.25">
      <c r="A326" s="41" t="s">
        <v>609</v>
      </c>
      <c r="B326" s="44" t="s">
        <v>610</v>
      </c>
      <c r="C326" s="13">
        <v>1</v>
      </c>
      <c r="D326" s="45">
        <v>22.635000000000002</v>
      </c>
      <c r="E326" s="45"/>
      <c r="F326" s="46"/>
      <c r="G326" s="46"/>
      <c r="H326" s="46"/>
      <c r="I326" s="12" t="s">
        <v>3</v>
      </c>
      <c r="J326" s="42">
        <v>22.64</v>
      </c>
      <c r="K326" s="78"/>
    </row>
    <row r="327" spans="1:11" s="43" customFormat="1" ht="23.25" customHeight="1" x14ac:dyDescent="0.25">
      <c r="A327" s="47" t="s">
        <v>611</v>
      </c>
      <c r="B327" s="48" t="s">
        <v>612</v>
      </c>
      <c r="C327" s="16">
        <v>100</v>
      </c>
      <c r="D327" s="49">
        <v>8.1999999999999993</v>
      </c>
      <c r="E327" s="49">
        <v>5.03</v>
      </c>
      <c r="F327" s="50"/>
      <c r="G327" s="50"/>
      <c r="H327" s="50"/>
      <c r="I327" s="17" t="s">
        <v>913</v>
      </c>
      <c r="J327" s="51">
        <v>5.03</v>
      </c>
      <c r="K327" s="78"/>
    </row>
    <row r="328" spans="1:11" s="43" customFormat="1" ht="23.25" customHeight="1" x14ac:dyDescent="0.25">
      <c r="A328" s="41" t="s">
        <v>613</v>
      </c>
      <c r="B328" s="44" t="s">
        <v>614</v>
      </c>
      <c r="C328" s="13">
        <v>1</v>
      </c>
      <c r="D328" s="45">
        <v>1.821</v>
      </c>
      <c r="E328" s="45"/>
      <c r="F328" s="46"/>
      <c r="G328" s="46"/>
      <c r="H328" s="46"/>
      <c r="I328" s="12" t="s">
        <v>3</v>
      </c>
      <c r="J328" s="42">
        <v>1.82</v>
      </c>
      <c r="K328" s="78"/>
    </row>
    <row r="329" spans="1:11" s="43" customFormat="1" ht="23.25" customHeight="1" x14ac:dyDescent="0.25">
      <c r="A329" s="41" t="s">
        <v>615</v>
      </c>
      <c r="B329" s="44" t="s">
        <v>616</v>
      </c>
      <c r="C329" s="13">
        <v>25</v>
      </c>
      <c r="D329" s="45">
        <v>8.4499999999999993</v>
      </c>
      <c r="E329" s="45">
        <v>12.41</v>
      </c>
      <c r="F329" s="46"/>
      <c r="G329" s="46"/>
      <c r="H329" s="46"/>
      <c r="I329" s="12" t="s">
        <v>3</v>
      </c>
      <c r="J329" s="42">
        <v>8.4499999999999993</v>
      </c>
      <c r="K329" s="78"/>
    </row>
    <row r="330" spans="1:11" s="43" customFormat="1" ht="23.25" customHeight="1" x14ac:dyDescent="0.25">
      <c r="A330" s="104" t="s">
        <v>617</v>
      </c>
      <c r="B330" s="105" t="s">
        <v>618</v>
      </c>
      <c r="C330" s="106">
        <v>25</v>
      </c>
      <c r="D330" s="107">
        <v>10.5</v>
      </c>
      <c r="E330" s="107"/>
      <c r="F330" s="108"/>
      <c r="G330" s="108"/>
      <c r="H330" s="108">
        <v>9.25</v>
      </c>
      <c r="I330" s="109" t="s">
        <v>910</v>
      </c>
      <c r="J330" s="110">
        <v>9.25</v>
      </c>
      <c r="K330" s="78"/>
    </row>
    <row r="331" spans="1:11" s="43" customFormat="1" ht="23.25" customHeight="1" x14ac:dyDescent="0.25">
      <c r="A331" s="41" t="s">
        <v>619</v>
      </c>
      <c r="B331" s="44" t="s">
        <v>620</v>
      </c>
      <c r="C331" s="13">
        <v>25</v>
      </c>
      <c r="D331" s="45">
        <v>8.32</v>
      </c>
      <c r="E331" s="45"/>
      <c r="F331" s="46"/>
      <c r="G331" s="46"/>
      <c r="H331" s="46"/>
      <c r="I331" s="12" t="s">
        <v>3</v>
      </c>
      <c r="J331" s="42">
        <v>8.32</v>
      </c>
      <c r="K331" s="78"/>
    </row>
    <row r="332" spans="1:11" s="43" customFormat="1" ht="23.25" customHeight="1" x14ac:dyDescent="0.25">
      <c r="A332" s="104" t="s">
        <v>621</v>
      </c>
      <c r="B332" s="105" t="s">
        <v>622</v>
      </c>
      <c r="C332" s="106">
        <v>100</v>
      </c>
      <c r="D332" s="107">
        <f>28.5/2/100</f>
        <v>0.14249999999999999</v>
      </c>
      <c r="E332" s="107">
        <f>12.293/100</f>
        <v>0.12293</v>
      </c>
      <c r="F332" s="108"/>
      <c r="G332" s="108"/>
      <c r="H332" s="108">
        <f>6.9/100</f>
        <v>6.9000000000000006E-2</v>
      </c>
      <c r="I332" s="109" t="s">
        <v>910</v>
      </c>
      <c r="J332" s="110">
        <v>7.0000000000000007E-2</v>
      </c>
      <c r="K332" s="78"/>
    </row>
    <row r="333" spans="1:11" s="43" customFormat="1" ht="23.25" customHeight="1" x14ac:dyDescent="0.25">
      <c r="A333" s="57" t="s">
        <v>623</v>
      </c>
      <c r="B333" s="58" t="s">
        <v>624</v>
      </c>
      <c r="C333" s="20">
        <v>1</v>
      </c>
      <c r="D333" s="59"/>
      <c r="E333" s="59"/>
      <c r="F333" s="60"/>
      <c r="G333" s="60">
        <v>2.25</v>
      </c>
      <c r="H333" s="60"/>
      <c r="I333" s="19" t="s">
        <v>916</v>
      </c>
      <c r="J333" s="61">
        <v>2.25</v>
      </c>
      <c r="K333" s="78"/>
    </row>
    <row r="334" spans="1:11" s="43" customFormat="1" ht="23.25" customHeight="1" x14ac:dyDescent="0.25">
      <c r="A334" s="41"/>
      <c r="B334" s="44" t="s">
        <v>625</v>
      </c>
      <c r="C334" s="13">
        <v>1</v>
      </c>
      <c r="D334" s="45">
        <v>3.2</v>
      </c>
      <c r="E334" s="45"/>
      <c r="F334" s="46"/>
      <c r="G334" s="46"/>
      <c r="H334" s="46"/>
      <c r="I334" s="12" t="s">
        <v>3</v>
      </c>
      <c r="J334" s="42">
        <v>3.2</v>
      </c>
      <c r="K334" s="78"/>
    </row>
    <row r="335" spans="1:11" s="43" customFormat="1" ht="23.25" customHeight="1" x14ac:dyDescent="0.25">
      <c r="A335" s="47" t="s">
        <v>626</v>
      </c>
      <c r="B335" s="48" t="s">
        <v>627</v>
      </c>
      <c r="C335" s="16">
        <v>1</v>
      </c>
      <c r="D335" s="49">
        <v>3.01</v>
      </c>
      <c r="E335" s="49">
        <v>2.94</v>
      </c>
      <c r="F335" s="50"/>
      <c r="G335" s="50"/>
      <c r="H335" s="50"/>
      <c r="I335" s="17" t="s">
        <v>913</v>
      </c>
      <c r="J335" s="51">
        <v>2.94</v>
      </c>
      <c r="K335" s="78"/>
    </row>
    <row r="336" spans="1:11" s="43" customFormat="1" ht="23.25" customHeight="1" x14ac:dyDescent="0.25">
      <c r="A336" s="143" t="s">
        <v>628</v>
      </c>
      <c r="B336" s="144" t="s">
        <v>629</v>
      </c>
      <c r="C336" s="145">
        <v>1</v>
      </c>
      <c r="D336" s="146">
        <v>13.62</v>
      </c>
      <c r="E336" s="146">
        <v>10.260999999999999</v>
      </c>
      <c r="F336" s="147"/>
      <c r="G336" s="147"/>
      <c r="H336" s="147"/>
      <c r="I336" s="148" t="s">
        <v>913</v>
      </c>
      <c r="J336" s="149">
        <v>10.260999999999999</v>
      </c>
      <c r="K336" s="78"/>
    </row>
    <row r="337" spans="1:11" s="43" customFormat="1" ht="23.25" customHeight="1" x14ac:dyDescent="0.25">
      <c r="A337" s="41" t="s">
        <v>630</v>
      </c>
      <c r="B337" s="44" t="s">
        <v>631</v>
      </c>
      <c r="C337" s="13">
        <v>1</v>
      </c>
      <c r="D337" s="45">
        <v>8.4830000000000005</v>
      </c>
      <c r="E337" s="45">
        <v>10.199999999999999</v>
      </c>
      <c r="F337" s="46"/>
      <c r="G337" s="46"/>
      <c r="H337" s="46"/>
      <c r="I337" s="12" t="s">
        <v>3</v>
      </c>
      <c r="J337" s="42">
        <v>8.48</v>
      </c>
      <c r="K337" s="78"/>
    </row>
    <row r="338" spans="1:11" s="43" customFormat="1" ht="23.25" customHeight="1" x14ac:dyDescent="0.25">
      <c r="A338" s="57" t="s">
        <v>632</v>
      </c>
      <c r="B338" s="58" t="s">
        <v>633</v>
      </c>
      <c r="C338" s="20">
        <v>1</v>
      </c>
      <c r="D338" s="59"/>
      <c r="E338" s="59"/>
      <c r="F338" s="60"/>
      <c r="G338" s="60">
        <v>2.95</v>
      </c>
      <c r="H338" s="60"/>
      <c r="I338" s="19" t="s">
        <v>916</v>
      </c>
      <c r="J338" s="61">
        <v>2.95</v>
      </c>
      <c r="K338" s="78"/>
    </row>
    <row r="339" spans="1:11" s="43" customFormat="1" ht="23.25" customHeight="1" x14ac:dyDescent="0.25">
      <c r="A339" s="41" t="s">
        <v>634</v>
      </c>
      <c r="B339" s="44" t="s">
        <v>635</v>
      </c>
      <c r="C339" s="13">
        <v>1</v>
      </c>
      <c r="D339" s="45">
        <v>2.2999999999999998</v>
      </c>
      <c r="E339" s="45">
        <v>3.16</v>
      </c>
      <c r="F339" s="46"/>
      <c r="G339" s="46"/>
      <c r="H339" s="46"/>
      <c r="I339" s="12" t="s">
        <v>3</v>
      </c>
      <c r="J339" s="42">
        <v>2.2999999999999998</v>
      </c>
      <c r="K339" s="78"/>
    </row>
    <row r="340" spans="1:11" s="43" customFormat="1" ht="23.25" customHeight="1" x14ac:dyDescent="0.25">
      <c r="A340" s="57" t="s">
        <v>636</v>
      </c>
      <c r="B340" s="58" t="s">
        <v>637</v>
      </c>
      <c r="C340" s="20">
        <v>1</v>
      </c>
      <c r="D340" s="59"/>
      <c r="E340" s="59"/>
      <c r="F340" s="60"/>
      <c r="G340" s="60">
        <v>2.95</v>
      </c>
      <c r="H340" s="60"/>
      <c r="I340" s="19" t="s">
        <v>916</v>
      </c>
      <c r="J340" s="61">
        <v>2.95</v>
      </c>
      <c r="K340" s="78"/>
    </row>
    <row r="341" spans="1:11" s="43" customFormat="1" ht="23.25" customHeight="1" x14ac:dyDescent="0.25">
      <c r="A341" s="41" t="s">
        <v>638</v>
      </c>
      <c r="B341" s="44" t="s">
        <v>639</v>
      </c>
      <c r="C341" s="13">
        <v>1</v>
      </c>
      <c r="D341" s="45">
        <v>4.8099999999999996</v>
      </c>
      <c r="E341" s="45">
        <f>3.16*2.5</f>
        <v>7.9</v>
      </c>
      <c r="F341" s="46"/>
      <c r="G341" s="46"/>
      <c r="H341" s="46"/>
      <c r="I341" s="12" t="s">
        <v>3</v>
      </c>
      <c r="J341" s="42">
        <v>4.8099999999999996</v>
      </c>
      <c r="K341" s="78"/>
    </row>
    <row r="342" spans="1:11" s="43" customFormat="1" ht="23.25" customHeight="1" x14ac:dyDescent="0.25">
      <c r="A342" s="47" t="s">
        <v>640</v>
      </c>
      <c r="B342" s="48" t="s">
        <v>641</v>
      </c>
      <c r="C342" s="16">
        <v>1</v>
      </c>
      <c r="D342" s="49">
        <v>7.25</v>
      </c>
      <c r="E342" s="49">
        <f>2.804*2.5</f>
        <v>7.01</v>
      </c>
      <c r="F342" s="50"/>
      <c r="G342" s="50"/>
      <c r="H342" s="50"/>
      <c r="I342" s="17" t="s">
        <v>913</v>
      </c>
      <c r="J342" s="51">
        <v>7.01</v>
      </c>
      <c r="K342" s="78"/>
    </row>
    <row r="343" spans="1:11" s="43" customFormat="1" ht="23.25" customHeight="1" x14ac:dyDescent="0.25">
      <c r="A343" s="57" t="s">
        <v>642</v>
      </c>
      <c r="B343" s="58" t="s">
        <v>643</v>
      </c>
      <c r="C343" s="20">
        <v>1</v>
      </c>
      <c r="D343" s="59"/>
      <c r="E343" s="59"/>
      <c r="F343" s="60"/>
      <c r="G343" s="60">
        <v>2.95</v>
      </c>
      <c r="H343" s="60"/>
      <c r="I343" s="19" t="s">
        <v>916</v>
      </c>
      <c r="J343" s="61">
        <v>2.95</v>
      </c>
      <c r="K343" s="78"/>
    </row>
    <row r="344" spans="1:11" s="43" customFormat="1" ht="23.25" customHeight="1" x14ac:dyDescent="0.25">
      <c r="A344" s="57" t="s">
        <v>644</v>
      </c>
      <c r="B344" s="58" t="s">
        <v>645</v>
      </c>
      <c r="C344" s="20">
        <v>1</v>
      </c>
      <c r="D344" s="59"/>
      <c r="E344" s="59"/>
      <c r="F344" s="60"/>
      <c r="G344" s="60">
        <v>0.95</v>
      </c>
      <c r="H344" s="60"/>
      <c r="I344" s="19" t="s">
        <v>916</v>
      </c>
      <c r="J344" s="61">
        <v>0.95</v>
      </c>
      <c r="K344" s="78"/>
    </row>
    <row r="345" spans="1:11" s="43" customFormat="1" ht="23.25" customHeight="1" x14ac:dyDescent="0.25">
      <c r="A345" s="52" t="s">
        <v>646</v>
      </c>
      <c r="B345" s="53" t="s">
        <v>647</v>
      </c>
      <c r="C345" s="14">
        <v>1</v>
      </c>
      <c r="D345" s="54">
        <v>2.2599999999999998</v>
      </c>
      <c r="E345" s="54">
        <v>1.81</v>
      </c>
      <c r="F345" s="55">
        <v>1.75</v>
      </c>
      <c r="G345" s="55"/>
      <c r="H345" s="55"/>
      <c r="I345" s="15" t="s">
        <v>918</v>
      </c>
      <c r="J345" s="56">
        <v>4.38</v>
      </c>
      <c r="K345" s="78"/>
    </row>
    <row r="346" spans="1:11" s="43" customFormat="1" ht="23.25" customHeight="1" x14ac:dyDescent="0.25">
      <c r="A346" s="47" t="s">
        <v>648</v>
      </c>
      <c r="B346" s="48" t="s">
        <v>649</v>
      </c>
      <c r="C346" s="16">
        <v>1</v>
      </c>
      <c r="D346" s="49">
        <v>3.01</v>
      </c>
      <c r="E346" s="49">
        <v>2.34</v>
      </c>
      <c r="F346" s="50"/>
      <c r="G346" s="50"/>
      <c r="H346" s="50"/>
      <c r="I346" s="17" t="s">
        <v>913</v>
      </c>
      <c r="J346" s="51">
        <v>2.34</v>
      </c>
      <c r="K346" s="78"/>
    </row>
    <row r="347" spans="1:11" s="43" customFormat="1" ht="23.25" customHeight="1" x14ac:dyDescent="0.25">
      <c r="A347" s="47" t="s">
        <v>650</v>
      </c>
      <c r="B347" s="48" t="s">
        <v>651</v>
      </c>
      <c r="C347" s="16">
        <v>1</v>
      </c>
      <c r="D347" s="49">
        <v>1.47</v>
      </c>
      <c r="E347" s="49">
        <v>1.03</v>
      </c>
      <c r="F347" s="50"/>
      <c r="G347" s="50"/>
      <c r="H347" s="50">
        <v>1</v>
      </c>
      <c r="I347" s="17" t="s">
        <v>913</v>
      </c>
      <c r="J347" s="51">
        <v>1.03</v>
      </c>
      <c r="K347" s="78"/>
    </row>
    <row r="348" spans="1:11" s="43" customFormat="1" ht="23.25" customHeight="1" x14ac:dyDescent="0.25">
      <c r="A348" s="57" t="s">
        <v>652</v>
      </c>
      <c r="B348" s="58" t="s">
        <v>653</v>
      </c>
      <c r="C348" s="20">
        <v>1</v>
      </c>
      <c r="D348" s="59"/>
      <c r="E348" s="59"/>
      <c r="F348" s="60"/>
      <c r="G348" s="60">
        <v>1.5</v>
      </c>
      <c r="H348" s="60"/>
      <c r="I348" s="19" t="s">
        <v>916</v>
      </c>
      <c r="J348" s="61">
        <v>1.5</v>
      </c>
      <c r="K348" s="78"/>
    </row>
    <row r="349" spans="1:11" s="43" customFormat="1" ht="23.25" customHeight="1" x14ac:dyDescent="0.25">
      <c r="A349" s="41" t="s">
        <v>654</v>
      </c>
      <c r="B349" s="44" t="s">
        <v>655</v>
      </c>
      <c r="C349" s="13">
        <v>1</v>
      </c>
      <c r="D349" s="45">
        <v>6.71</v>
      </c>
      <c r="E349" s="45"/>
      <c r="F349" s="46"/>
      <c r="G349" s="46"/>
      <c r="H349" s="46"/>
      <c r="I349" s="12" t="s">
        <v>3</v>
      </c>
      <c r="J349" s="42">
        <v>6.71</v>
      </c>
      <c r="K349" s="78"/>
    </row>
    <row r="350" spans="1:11" s="43" customFormat="1" ht="23.25" customHeight="1" x14ac:dyDescent="0.25">
      <c r="A350" s="41" t="s">
        <v>656</v>
      </c>
      <c r="B350" s="44" t="s">
        <v>657</v>
      </c>
      <c r="C350" s="13">
        <v>1</v>
      </c>
      <c r="D350" s="45">
        <v>5.57</v>
      </c>
      <c r="E350" s="45"/>
      <c r="F350" s="46"/>
      <c r="G350" s="46"/>
      <c r="H350" s="46"/>
      <c r="I350" s="12" t="s">
        <v>3</v>
      </c>
      <c r="J350" s="42">
        <v>5.57</v>
      </c>
      <c r="K350" s="78"/>
    </row>
    <row r="351" spans="1:11" s="43" customFormat="1" ht="23.25" customHeight="1" x14ac:dyDescent="0.25">
      <c r="A351" s="104" t="s">
        <v>658</v>
      </c>
      <c r="B351" s="105" t="s">
        <v>659</v>
      </c>
      <c r="C351" s="106">
        <v>1</v>
      </c>
      <c r="D351" s="107">
        <v>5.8</v>
      </c>
      <c r="E351" s="107"/>
      <c r="F351" s="108">
        <v>3.22</v>
      </c>
      <c r="G351" s="108"/>
      <c r="H351" s="108">
        <v>2.99</v>
      </c>
      <c r="I351" s="109" t="s">
        <v>910</v>
      </c>
      <c r="J351" s="110">
        <v>2.99</v>
      </c>
      <c r="K351" s="78"/>
    </row>
    <row r="352" spans="1:11" s="43" customFormat="1" ht="23.25" customHeight="1" x14ac:dyDescent="0.25">
      <c r="A352" s="41" t="s">
        <v>660</v>
      </c>
      <c r="B352" s="44" t="s">
        <v>661</v>
      </c>
      <c r="C352" s="13">
        <v>200</v>
      </c>
      <c r="D352" s="45">
        <v>6.7320000000000002</v>
      </c>
      <c r="E352" s="45">
        <v>24.942</v>
      </c>
      <c r="F352" s="46"/>
      <c r="G352" s="46"/>
      <c r="H352" s="46"/>
      <c r="I352" s="12" t="s">
        <v>3</v>
      </c>
      <c r="J352" s="42">
        <v>6.73</v>
      </c>
      <c r="K352" s="78"/>
    </row>
    <row r="353" spans="1:11" s="43" customFormat="1" ht="23.25" customHeight="1" x14ac:dyDescent="0.25">
      <c r="A353" s="104" t="s">
        <v>662</v>
      </c>
      <c r="B353" s="105" t="s">
        <v>663</v>
      </c>
      <c r="C353" s="106">
        <v>50</v>
      </c>
      <c r="D353" s="107">
        <v>6.95</v>
      </c>
      <c r="E353" s="107">
        <v>6.55</v>
      </c>
      <c r="F353" s="108"/>
      <c r="G353" s="108"/>
      <c r="H353" s="108">
        <v>5.8230000000000004</v>
      </c>
      <c r="I353" s="109" t="s">
        <v>910</v>
      </c>
      <c r="J353" s="110">
        <v>5.8230000000000004</v>
      </c>
      <c r="K353" s="78"/>
    </row>
    <row r="354" spans="1:11" s="43" customFormat="1" ht="23.25" customHeight="1" x14ac:dyDescent="0.25">
      <c r="A354" s="104" t="s">
        <v>664</v>
      </c>
      <c r="B354" s="105" t="s">
        <v>665</v>
      </c>
      <c r="C354" s="106">
        <v>50</v>
      </c>
      <c r="D354" s="158">
        <v>4.75</v>
      </c>
      <c r="E354" s="107">
        <v>4.09</v>
      </c>
      <c r="F354" s="108">
        <v>4.79</v>
      </c>
      <c r="G354" s="108"/>
      <c r="H354" s="108">
        <v>3.49</v>
      </c>
      <c r="I354" s="109" t="s">
        <v>910</v>
      </c>
      <c r="J354" s="110">
        <v>3.49</v>
      </c>
      <c r="K354" s="78"/>
    </row>
    <row r="355" spans="1:11" s="43" customFormat="1" ht="23.25" customHeight="1" x14ac:dyDescent="0.25">
      <c r="A355" s="104" t="s">
        <v>666</v>
      </c>
      <c r="B355" s="105" t="s">
        <v>667</v>
      </c>
      <c r="C355" s="106">
        <v>1</v>
      </c>
      <c r="D355" s="107"/>
      <c r="E355" s="107">
        <v>6.7</v>
      </c>
      <c r="F355" s="108"/>
      <c r="G355" s="108"/>
      <c r="H355" s="108">
        <v>5.6</v>
      </c>
      <c r="I355" s="109" t="s">
        <v>910</v>
      </c>
      <c r="J355" s="110">
        <v>5.6</v>
      </c>
      <c r="K355" s="78"/>
    </row>
    <row r="356" spans="1:11" s="43" customFormat="1" ht="23.25" customHeight="1" x14ac:dyDescent="0.25">
      <c r="A356" s="41" t="s">
        <v>668</v>
      </c>
      <c r="B356" s="44" t="s">
        <v>669</v>
      </c>
      <c r="C356" s="13">
        <v>1</v>
      </c>
      <c r="D356" s="45">
        <v>2.5</v>
      </c>
      <c r="E356" s="45">
        <v>2.9089999999999998</v>
      </c>
      <c r="F356" s="46"/>
      <c r="G356" s="46"/>
      <c r="H356" s="46"/>
      <c r="I356" s="12" t="s">
        <v>3</v>
      </c>
      <c r="J356" s="42">
        <v>2.5</v>
      </c>
      <c r="K356" s="78"/>
    </row>
    <row r="357" spans="1:11" s="43" customFormat="1" ht="23.25" customHeight="1" x14ac:dyDescent="0.25">
      <c r="A357" s="47" t="s">
        <v>670</v>
      </c>
      <c r="B357" s="48" t="s">
        <v>671</v>
      </c>
      <c r="C357" s="16">
        <v>1</v>
      </c>
      <c r="D357" s="49">
        <v>3.6669999999999998</v>
      </c>
      <c r="E357" s="49">
        <f>77.15/25</f>
        <v>3.0860000000000003</v>
      </c>
      <c r="F357" s="50"/>
      <c r="G357" s="50"/>
      <c r="H357" s="50"/>
      <c r="I357" s="17" t="s">
        <v>913</v>
      </c>
      <c r="J357" s="51">
        <v>3.09</v>
      </c>
      <c r="K357" s="78"/>
    </row>
    <row r="358" spans="1:11" s="43" customFormat="1" ht="23.25" customHeight="1" x14ac:dyDescent="0.25">
      <c r="A358" s="47" t="s">
        <v>672</v>
      </c>
      <c r="B358" s="48" t="s">
        <v>673</v>
      </c>
      <c r="C358" s="16">
        <v>1</v>
      </c>
      <c r="D358" s="49"/>
      <c r="E358" s="49">
        <f>18.59/5</f>
        <v>3.718</v>
      </c>
      <c r="F358" s="50"/>
      <c r="G358" s="50"/>
      <c r="H358" s="50"/>
      <c r="I358" s="17" t="s">
        <v>913</v>
      </c>
      <c r="J358" s="51">
        <v>3.72</v>
      </c>
      <c r="K358" s="78"/>
    </row>
    <row r="359" spans="1:11" s="43" customFormat="1" ht="23.25" customHeight="1" x14ac:dyDescent="0.25">
      <c r="A359" s="41" t="s">
        <v>674</v>
      </c>
      <c r="B359" s="44" t="s">
        <v>675</v>
      </c>
      <c r="C359" s="13">
        <v>1</v>
      </c>
      <c r="D359" s="45">
        <v>5.16</v>
      </c>
      <c r="E359" s="45">
        <v>6.3</v>
      </c>
      <c r="F359" s="46"/>
      <c r="G359" s="46"/>
      <c r="H359" s="46"/>
      <c r="I359" s="12" t="s">
        <v>3</v>
      </c>
      <c r="J359" s="42">
        <v>5.16</v>
      </c>
      <c r="K359" s="78"/>
    </row>
    <row r="360" spans="1:11" s="43" customFormat="1" ht="23.25" customHeight="1" x14ac:dyDescent="0.25">
      <c r="A360" s="41" t="s">
        <v>676</v>
      </c>
      <c r="B360" s="44" t="s">
        <v>677</v>
      </c>
      <c r="C360" s="13">
        <v>1</v>
      </c>
      <c r="D360" s="45">
        <v>8</v>
      </c>
      <c r="E360" s="45">
        <v>9.6609999999999996</v>
      </c>
      <c r="F360" s="46"/>
      <c r="G360" s="46"/>
      <c r="H360" s="46"/>
      <c r="I360" s="12" t="s">
        <v>3</v>
      </c>
      <c r="J360" s="42">
        <v>8</v>
      </c>
      <c r="K360" s="78"/>
    </row>
    <row r="361" spans="1:11" s="43" customFormat="1" ht="23.25" customHeight="1" x14ac:dyDescent="0.25">
      <c r="A361" s="47" t="s">
        <v>678</v>
      </c>
      <c r="B361" s="48" t="s">
        <v>679</v>
      </c>
      <c r="C361" s="16">
        <v>1</v>
      </c>
      <c r="D361" s="49"/>
      <c r="E361" s="49">
        <v>24.43</v>
      </c>
      <c r="F361" s="50"/>
      <c r="G361" s="50"/>
      <c r="H361" s="50"/>
      <c r="I361" s="17" t="s">
        <v>913</v>
      </c>
      <c r="J361" s="51">
        <v>24.43</v>
      </c>
      <c r="K361" s="78"/>
    </row>
    <row r="362" spans="1:11" s="43" customFormat="1" ht="23.25" customHeight="1" x14ac:dyDescent="0.25">
      <c r="A362" s="41" t="s">
        <v>680</v>
      </c>
      <c r="B362" s="44" t="s">
        <v>681</v>
      </c>
      <c r="C362" s="13">
        <v>1</v>
      </c>
      <c r="D362" s="45">
        <v>6.25</v>
      </c>
      <c r="E362" s="45">
        <v>7.9829999999999997</v>
      </c>
      <c r="F362" s="46"/>
      <c r="G362" s="46"/>
      <c r="H362" s="46"/>
      <c r="I362" s="12" t="s">
        <v>3</v>
      </c>
      <c r="J362" s="42">
        <v>6.25</v>
      </c>
      <c r="K362" s="78"/>
    </row>
    <row r="363" spans="1:11" s="43" customFormat="1" ht="23.25" customHeight="1" x14ac:dyDescent="0.25">
      <c r="A363" s="41" t="s">
        <v>682</v>
      </c>
      <c r="B363" s="44" t="s">
        <v>683</v>
      </c>
      <c r="C363" s="13">
        <v>1</v>
      </c>
      <c r="D363" s="45">
        <v>13.25</v>
      </c>
      <c r="E363" s="45">
        <f>2.87*5</f>
        <v>14.350000000000001</v>
      </c>
      <c r="F363" s="46"/>
      <c r="G363" s="46"/>
      <c r="H363" s="46"/>
      <c r="I363" s="12" t="s">
        <v>3</v>
      </c>
      <c r="J363" s="42">
        <v>13.25</v>
      </c>
      <c r="K363" s="78"/>
    </row>
    <row r="364" spans="1:11" s="43" customFormat="1" ht="23.25" customHeight="1" x14ac:dyDescent="0.25">
      <c r="A364" s="47" t="s">
        <v>684</v>
      </c>
      <c r="B364" s="48" t="s">
        <v>685</v>
      </c>
      <c r="C364" s="16">
        <v>1</v>
      </c>
      <c r="D364" s="49">
        <v>7.64</v>
      </c>
      <c r="E364" s="49">
        <v>6.02</v>
      </c>
      <c r="F364" s="50"/>
      <c r="G364" s="50"/>
      <c r="H364" s="50"/>
      <c r="I364" s="17" t="s">
        <v>913</v>
      </c>
      <c r="J364" s="51">
        <v>6.02</v>
      </c>
      <c r="K364" s="78"/>
    </row>
    <row r="365" spans="1:11" s="43" customFormat="1" ht="23.25" customHeight="1" x14ac:dyDescent="0.25">
      <c r="A365" s="41"/>
      <c r="B365" s="44" t="s">
        <v>686</v>
      </c>
      <c r="C365" s="13">
        <v>24</v>
      </c>
      <c r="D365" s="45">
        <v>0.67200000000000004</v>
      </c>
      <c r="E365" s="45"/>
      <c r="F365" s="46"/>
      <c r="G365" s="46"/>
      <c r="H365" s="46"/>
      <c r="I365" s="12" t="s">
        <v>3</v>
      </c>
      <c r="J365" s="42">
        <v>0.67200000000000004</v>
      </c>
      <c r="K365" s="78"/>
    </row>
    <row r="366" spans="1:11" s="43" customFormat="1" ht="23.25" customHeight="1" x14ac:dyDescent="0.25">
      <c r="A366" s="151" t="s">
        <v>687</v>
      </c>
      <c r="B366" s="152" t="s">
        <v>688</v>
      </c>
      <c r="C366" s="153">
        <v>12</v>
      </c>
      <c r="D366" s="154">
        <v>0.98</v>
      </c>
      <c r="E366" s="154"/>
      <c r="F366" s="155"/>
      <c r="G366" s="155">
        <v>0.89</v>
      </c>
      <c r="H366" s="155">
        <v>0.97499999999999998</v>
      </c>
      <c r="I366" s="156" t="s">
        <v>925</v>
      </c>
      <c r="J366" s="157">
        <v>0.89</v>
      </c>
      <c r="K366" s="78"/>
    </row>
    <row r="367" spans="1:11" s="43" customFormat="1" ht="23.25" customHeight="1" x14ac:dyDescent="0.25">
      <c r="A367" s="47" t="s">
        <v>689</v>
      </c>
      <c r="B367" s="48" t="s">
        <v>690</v>
      </c>
      <c r="C367" s="16">
        <v>1</v>
      </c>
      <c r="D367" s="49">
        <v>7.9</v>
      </c>
      <c r="E367" s="49">
        <v>6.56</v>
      </c>
      <c r="F367" s="50"/>
      <c r="G367" s="50"/>
      <c r="H367" s="50"/>
      <c r="I367" s="17" t="s">
        <v>913</v>
      </c>
      <c r="J367" s="51">
        <v>6.56</v>
      </c>
      <c r="K367" s="78"/>
    </row>
    <row r="368" spans="1:11" s="43" customFormat="1" ht="23.25" customHeight="1" x14ac:dyDescent="0.25">
      <c r="A368" s="47" t="s">
        <v>691</v>
      </c>
      <c r="B368" s="48" t="s">
        <v>692</v>
      </c>
      <c r="C368" s="16">
        <v>1</v>
      </c>
      <c r="D368" s="49">
        <v>6.47</v>
      </c>
      <c r="E368" s="49">
        <v>5.1070000000000002</v>
      </c>
      <c r="F368" s="50"/>
      <c r="G368" s="50"/>
      <c r="H368" s="50"/>
      <c r="I368" s="17" t="s">
        <v>913</v>
      </c>
      <c r="J368" s="51">
        <v>5.1100000000000003</v>
      </c>
      <c r="K368" s="78"/>
    </row>
    <row r="369" spans="1:11" s="43" customFormat="1" ht="23.25" customHeight="1" x14ac:dyDescent="0.25">
      <c r="A369" s="41" t="s">
        <v>693</v>
      </c>
      <c r="B369" s="44" t="s">
        <v>694</v>
      </c>
      <c r="C369" s="13">
        <v>1</v>
      </c>
      <c r="D369" s="45">
        <v>7.61</v>
      </c>
      <c r="E369" s="45">
        <v>7.85</v>
      </c>
      <c r="F369" s="46"/>
      <c r="G369" s="46"/>
      <c r="H369" s="46"/>
      <c r="I369" s="12" t="s">
        <v>3</v>
      </c>
      <c r="J369" s="42">
        <v>7.61</v>
      </c>
      <c r="K369" s="78"/>
    </row>
    <row r="370" spans="1:11" s="43" customFormat="1" ht="23.25" customHeight="1" x14ac:dyDescent="0.25">
      <c r="A370" s="47" t="s">
        <v>695</v>
      </c>
      <c r="B370" s="48" t="s">
        <v>696</v>
      </c>
      <c r="C370" s="16">
        <v>1</v>
      </c>
      <c r="D370" s="49">
        <v>5.97</v>
      </c>
      <c r="E370" s="49">
        <v>5.52</v>
      </c>
      <c r="F370" s="50"/>
      <c r="G370" s="50"/>
      <c r="H370" s="50"/>
      <c r="I370" s="17" t="s">
        <v>913</v>
      </c>
      <c r="J370" s="51">
        <v>5.52</v>
      </c>
      <c r="K370" s="78"/>
    </row>
    <row r="371" spans="1:11" s="43" customFormat="1" ht="23.25" customHeight="1" x14ac:dyDescent="0.25">
      <c r="A371" s="47" t="s">
        <v>697</v>
      </c>
      <c r="B371" s="48" t="s">
        <v>698</v>
      </c>
      <c r="C371" s="16">
        <v>1</v>
      </c>
      <c r="D371" s="49">
        <v>8.09</v>
      </c>
      <c r="E371" s="49">
        <v>6.6909999999999998</v>
      </c>
      <c r="F371" s="50"/>
      <c r="G371" s="50"/>
      <c r="H371" s="50"/>
      <c r="I371" s="17" t="s">
        <v>913</v>
      </c>
      <c r="J371" s="51">
        <v>6.69</v>
      </c>
      <c r="K371" s="78"/>
    </row>
    <row r="372" spans="1:11" s="43" customFormat="1" ht="23.25" customHeight="1" x14ac:dyDescent="0.25">
      <c r="A372" s="47" t="s">
        <v>699</v>
      </c>
      <c r="B372" s="48" t="s">
        <v>700</v>
      </c>
      <c r="C372" s="16">
        <v>1</v>
      </c>
      <c r="D372" s="49">
        <v>6.78</v>
      </c>
      <c r="E372" s="49">
        <v>5.2160000000000002</v>
      </c>
      <c r="F372" s="50"/>
      <c r="G372" s="50"/>
      <c r="H372" s="50"/>
      <c r="I372" s="17" t="s">
        <v>913</v>
      </c>
      <c r="J372" s="51">
        <v>5.22</v>
      </c>
      <c r="K372" s="78"/>
    </row>
    <row r="373" spans="1:11" s="43" customFormat="1" ht="23.25" customHeight="1" x14ac:dyDescent="0.25">
      <c r="A373" s="47" t="s">
        <v>701</v>
      </c>
      <c r="B373" s="48" t="s">
        <v>702</v>
      </c>
      <c r="C373" s="16">
        <v>1</v>
      </c>
      <c r="D373" s="49">
        <v>8.5470000000000006</v>
      </c>
      <c r="E373" s="49">
        <v>7.1440000000000001</v>
      </c>
      <c r="F373" s="50"/>
      <c r="G373" s="50"/>
      <c r="H373" s="50"/>
      <c r="I373" s="17" t="s">
        <v>913</v>
      </c>
      <c r="J373" s="51">
        <v>7.14</v>
      </c>
      <c r="K373" s="78"/>
    </row>
    <row r="374" spans="1:11" s="43" customFormat="1" ht="23.25" customHeight="1" x14ac:dyDescent="0.25">
      <c r="A374" s="41" t="s">
        <v>703</v>
      </c>
      <c r="B374" s="44" t="s">
        <v>704</v>
      </c>
      <c r="C374" s="13">
        <v>1</v>
      </c>
      <c r="D374" s="45">
        <v>7.9</v>
      </c>
      <c r="E374" s="45">
        <v>8.51</v>
      </c>
      <c r="F374" s="46"/>
      <c r="G374" s="46"/>
      <c r="H374" s="46"/>
      <c r="I374" s="12" t="s">
        <v>3</v>
      </c>
      <c r="J374" s="42">
        <v>7.9</v>
      </c>
      <c r="K374" s="78"/>
    </row>
    <row r="375" spans="1:11" s="43" customFormat="1" ht="23.25" customHeight="1" x14ac:dyDescent="0.25">
      <c r="A375" s="41"/>
      <c r="B375" s="44" t="s">
        <v>705</v>
      </c>
      <c r="C375" s="13">
        <v>1</v>
      </c>
      <c r="D375" s="45">
        <v>8.7140000000000004</v>
      </c>
      <c r="E375" s="45"/>
      <c r="F375" s="46"/>
      <c r="G375" s="46"/>
      <c r="H375" s="46"/>
      <c r="I375" s="12" t="s">
        <v>3</v>
      </c>
      <c r="J375" s="42">
        <v>8.7100000000000009</v>
      </c>
      <c r="K375" s="78"/>
    </row>
    <row r="376" spans="1:11" s="43" customFormat="1" ht="23.25" customHeight="1" x14ac:dyDescent="0.25">
      <c r="A376" s="47" t="s">
        <v>706</v>
      </c>
      <c r="B376" s="48" t="s">
        <v>707</v>
      </c>
      <c r="C376" s="16">
        <v>1</v>
      </c>
      <c r="D376" s="49">
        <v>8.173</v>
      </c>
      <c r="E376" s="49">
        <v>6.91</v>
      </c>
      <c r="F376" s="50"/>
      <c r="G376" s="50"/>
      <c r="H376" s="50"/>
      <c r="I376" s="17" t="s">
        <v>913</v>
      </c>
      <c r="J376" s="51">
        <v>6.91</v>
      </c>
      <c r="K376" s="78"/>
    </row>
    <row r="377" spans="1:11" s="43" customFormat="1" ht="23.25" customHeight="1" x14ac:dyDescent="0.25">
      <c r="A377" s="41" t="s">
        <v>708</v>
      </c>
      <c r="B377" s="44" t="s">
        <v>709</v>
      </c>
      <c r="C377" s="13">
        <v>1</v>
      </c>
      <c r="D377" s="45">
        <v>7.1859999999999999</v>
      </c>
      <c r="E377" s="45">
        <v>7.37</v>
      </c>
      <c r="F377" s="46"/>
      <c r="G377" s="46"/>
      <c r="H377" s="46"/>
      <c r="I377" s="12" t="s">
        <v>3</v>
      </c>
      <c r="J377" s="42">
        <v>7.19</v>
      </c>
      <c r="K377" s="78"/>
    </row>
    <row r="378" spans="1:11" s="43" customFormat="1" ht="23.25" customHeight="1" x14ac:dyDescent="0.25">
      <c r="A378" s="41"/>
      <c r="B378" s="44" t="s">
        <v>710</v>
      </c>
      <c r="C378" s="13">
        <v>10</v>
      </c>
      <c r="D378" s="45">
        <v>9.1720000000000006</v>
      </c>
      <c r="E378" s="45"/>
      <c r="F378" s="46"/>
      <c r="G378" s="46"/>
      <c r="H378" s="46"/>
      <c r="I378" s="12" t="s">
        <v>3</v>
      </c>
      <c r="J378" s="42">
        <v>9.17</v>
      </c>
      <c r="K378" s="78"/>
    </row>
    <row r="379" spans="1:11" s="43" customFormat="1" ht="23.25" customHeight="1" x14ac:dyDescent="0.25">
      <c r="A379" s="47" t="s">
        <v>711</v>
      </c>
      <c r="B379" s="48" t="s">
        <v>712</v>
      </c>
      <c r="C379" s="16">
        <v>1</v>
      </c>
      <c r="D379" s="49">
        <v>5.89</v>
      </c>
      <c r="E379" s="49">
        <v>4.7140000000000004</v>
      </c>
      <c r="F379" s="50"/>
      <c r="G379" s="50"/>
      <c r="H379" s="50"/>
      <c r="I379" s="17" t="s">
        <v>913</v>
      </c>
      <c r="J379" s="51">
        <v>4.71</v>
      </c>
      <c r="K379" s="78"/>
    </row>
    <row r="380" spans="1:11" s="43" customFormat="1" ht="23.25" customHeight="1" x14ac:dyDescent="0.25">
      <c r="A380" s="41" t="s">
        <v>713</v>
      </c>
      <c r="B380" s="44" t="s">
        <v>714</v>
      </c>
      <c r="C380" s="13">
        <v>1</v>
      </c>
      <c r="D380" s="45">
        <v>5.57</v>
      </c>
      <c r="E380" s="45">
        <v>5.7</v>
      </c>
      <c r="F380" s="46"/>
      <c r="G380" s="46"/>
      <c r="H380" s="46"/>
      <c r="I380" s="12" t="s">
        <v>3</v>
      </c>
      <c r="J380" s="42">
        <v>5.57</v>
      </c>
      <c r="K380" s="78"/>
    </row>
    <row r="381" spans="1:11" s="43" customFormat="1" ht="23.25" customHeight="1" x14ac:dyDescent="0.25">
      <c r="A381" s="47" t="s">
        <v>715</v>
      </c>
      <c r="B381" s="48" t="s">
        <v>716</v>
      </c>
      <c r="C381" s="16">
        <v>1</v>
      </c>
      <c r="D381" s="49">
        <v>5.08</v>
      </c>
      <c r="E381" s="49">
        <v>4.8499999999999996</v>
      </c>
      <c r="F381" s="50"/>
      <c r="G381" s="50"/>
      <c r="H381" s="50"/>
      <c r="I381" s="17" t="s">
        <v>913</v>
      </c>
      <c r="J381" s="51">
        <v>4.8499999999999996</v>
      </c>
      <c r="K381" s="78"/>
    </row>
    <row r="382" spans="1:11" s="43" customFormat="1" ht="23.25" customHeight="1" x14ac:dyDescent="0.25">
      <c r="A382" s="52"/>
      <c r="B382" s="53" t="s">
        <v>717</v>
      </c>
      <c r="C382" s="14">
        <v>1</v>
      </c>
      <c r="D382" s="54">
        <v>15.5</v>
      </c>
      <c r="E382" s="54"/>
      <c r="F382" s="55">
        <v>3.78</v>
      </c>
      <c r="G382" s="55"/>
      <c r="H382" s="55"/>
      <c r="I382" s="15" t="s">
        <v>918</v>
      </c>
      <c r="J382" s="56">
        <v>3.78</v>
      </c>
      <c r="K382" s="78"/>
    </row>
    <row r="383" spans="1:11" s="43" customFormat="1" ht="23.25" customHeight="1" x14ac:dyDescent="0.25">
      <c r="A383" s="57" t="s">
        <v>718</v>
      </c>
      <c r="B383" s="58" t="s">
        <v>719</v>
      </c>
      <c r="C383" s="20">
        <v>1</v>
      </c>
      <c r="D383" s="59"/>
      <c r="E383" s="59"/>
      <c r="F383" s="60"/>
      <c r="G383" s="60">
        <v>4.95</v>
      </c>
      <c r="H383" s="60"/>
      <c r="I383" s="19" t="s">
        <v>916</v>
      </c>
      <c r="J383" s="61">
        <v>4.95</v>
      </c>
      <c r="K383" s="78"/>
    </row>
    <row r="384" spans="1:11" s="43" customFormat="1" ht="23.25" customHeight="1" x14ac:dyDescent="0.25">
      <c r="A384" s="41" t="s">
        <v>720</v>
      </c>
      <c r="B384" s="44" t="s">
        <v>721</v>
      </c>
      <c r="C384" s="13">
        <v>1</v>
      </c>
      <c r="D384" s="45">
        <v>3.25</v>
      </c>
      <c r="E384" s="45">
        <v>4.3899999999999997</v>
      </c>
      <c r="F384" s="46"/>
      <c r="G384" s="46"/>
      <c r="H384" s="46"/>
      <c r="I384" s="12" t="s">
        <v>3</v>
      </c>
      <c r="J384" s="42">
        <v>3.25</v>
      </c>
      <c r="K384" s="78"/>
    </row>
    <row r="385" spans="1:11" s="43" customFormat="1" ht="23.25" customHeight="1" x14ac:dyDescent="0.25">
      <c r="A385" s="104" t="s">
        <v>722</v>
      </c>
      <c r="B385" s="105" t="s">
        <v>723</v>
      </c>
      <c r="C385" s="106">
        <v>500</v>
      </c>
      <c r="D385" s="107"/>
      <c r="E385" s="107">
        <v>21.855</v>
      </c>
      <c r="F385" s="108">
        <v>21.9</v>
      </c>
      <c r="G385" s="121"/>
      <c r="H385" s="108">
        <v>17.75</v>
      </c>
      <c r="I385" s="109" t="s">
        <v>910</v>
      </c>
      <c r="J385" s="110">
        <v>17.75</v>
      </c>
      <c r="K385" s="78"/>
    </row>
    <row r="386" spans="1:11" s="43" customFormat="1" ht="23.25" customHeight="1" x14ac:dyDescent="0.25">
      <c r="A386" s="41" t="s">
        <v>724</v>
      </c>
      <c r="B386" s="44" t="s">
        <v>725</v>
      </c>
      <c r="C386" s="13">
        <v>24</v>
      </c>
      <c r="D386" s="45">
        <v>1.18</v>
      </c>
      <c r="E386" s="45">
        <v>1.377</v>
      </c>
      <c r="F386" s="46"/>
      <c r="G386" s="46"/>
      <c r="H386" s="46">
        <v>1.19</v>
      </c>
      <c r="I386" s="12" t="s">
        <v>3</v>
      </c>
      <c r="J386" s="42">
        <v>1.18</v>
      </c>
      <c r="K386" s="78"/>
    </row>
    <row r="387" spans="1:11" s="43" customFormat="1" ht="23.25" customHeight="1" x14ac:dyDescent="0.25">
      <c r="A387" s="41" t="s">
        <v>726</v>
      </c>
      <c r="B387" s="44" t="s">
        <v>727</v>
      </c>
      <c r="C387" s="13">
        <v>1</v>
      </c>
      <c r="D387" s="45">
        <v>0.81399999999999995</v>
      </c>
      <c r="E387" s="45">
        <v>1.39</v>
      </c>
      <c r="F387" s="46"/>
      <c r="G387" s="46"/>
      <c r="H387" s="46"/>
      <c r="I387" s="12" t="s">
        <v>3</v>
      </c>
      <c r="J387" s="42">
        <v>0.81</v>
      </c>
      <c r="K387" s="78"/>
    </row>
    <row r="388" spans="1:11" s="43" customFormat="1" ht="23.25" customHeight="1" x14ac:dyDescent="0.25">
      <c r="A388" s="47" t="s">
        <v>728</v>
      </c>
      <c r="B388" s="48" t="s">
        <v>729</v>
      </c>
      <c r="C388" s="16">
        <v>1</v>
      </c>
      <c r="D388" s="49">
        <v>3.73</v>
      </c>
      <c r="E388" s="49">
        <v>3.62</v>
      </c>
      <c r="F388" s="50"/>
      <c r="G388" s="50"/>
      <c r="H388" s="50"/>
      <c r="I388" s="17" t="s">
        <v>913</v>
      </c>
      <c r="J388" s="51">
        <v>3.62</v>
      </c>
      <c r="K388" s="78"/>
    </row>
    <row r="389" spans="1:11" s="43" customFormat="1" ht="23.25" customHeight="1" x14ac:dyDescent="0.25">
      <c r="A389" s="47" t="s">
        <v>730</v>
      </c>
      <c r="B389" s="48" t="s">
        <v>731</v>
      </c>
      <c r="C389" s="16">
        <v>1</v>
      </c>
      <c r="D389" s="49">
        <v>4.2149999999999999</v>
      </c>
      <c r="E389" s="49">
        <v>3.427</v>
      </c>
      <c r="F389" s="50"/>
      <c r="G389" s="50"/>
      <c r="H389" s="50"/>
      <c r="I389" s="17" t="s">
        <v>913</v>
      </c>
      <c r="J389" s="51">
        <v>3.43</v>
      </c>
      <c r="K389" s="78"/>
    </row>
    <row r="390" spans="1:11" s="43" customFormat="1" ht="23.25" customHeight="1" x14ac:dyDescent="0.25">
      <c r="A390" s="41" t="s">
        <v>732</v>
      </c>
      <c r="B390" s="44" t="s">
        <v>733</v>
      </c>
      <c r="C390" s="13">
        <v>1</v>
      </c>
      <c r="D390" s="45">
        <v>2.42</v>
      </c>
      <c r="E390" s="45">
        <v>3.15</v>
      </c>
      <c r="F390" s="46"/>
      <c r="G390" s="46"/>
      <c r="H390" s="46"/>
      <c r="I390" s="12" t="s">
        <v>3</v>
      </c>
      <c r="J390" s="42">
        <v>2.42</v>
      </c>
      <c r="K390" s="78"/>
    </row>
    <row r="391" spans="1:11" s="43" customFormat="1" ht="23.25" customHeight="1" x14ac:dyDescent="0.25">
      <c r="A391" s="41"/>
      <c r="B391" s="44" t="s">
        <v>734</v>
      </c>
      <c r="C391" s="13">
        <v>1</v>
      </c>
      <c r="D391" s="45">
        <v>3.1</v>
      </c>
      <c r="E391" s="45"/>
      <c r="F391" s="46"/>
      <c r="G391" s="46"/>
      <c r="H391" s="46"/>
      <c r="I391" s="12" t="s">
        <v>3</v>
      </c>
      <c r="J391" s="42">
        <v>3.1</v>
      </c>
      <c r="K391" s="78"/>
    </row>
    <row r="392" spans="1:11" s="43" customFormat="1" ht="23.25" customHeight="1" x14ac:dyDescent="0.25">
      <c r="A392" s="52" t="s">
        <v>735</v>
      </c>
      <c r="B392" s="53" t="s">
        <v>736</v>
      </c>
      <c r="C392" s="14">
        <v>1</v>
      </c>
      <c r="D392" s="54">
        <v>8.2149999999999999</v>
      </c>
      <c r="E392" s="54"/>
      <c r="F392" s="55">
        <f>15.49/2</f>
        <v>7.7450000000000001</v>
      </c>
      <c r="G392" s="55"/>
      <c r="H392" s="55"/>
      <c r="I392" s="15" t="s">
        <v>918</v>
      </c>
      <c r="J392" s="56">
        <v>7.75</v>
      </c>
      <c r="K392" s="78"/>
    </row>
    <row r="393" spans="1:11" s="43" customFormat="1" ht="23.25" customHeight="1" x14ac:dyDescent="0.25">
      <c r="A393" s="41" t="s">
        <v>737</v>
      </c>
      <c r="B393" s="44" t="s">
        <v>738</v>
      </c>
      <c r="C393" s="13">
        <v>1</v>
      </c>
      <c r="D393" s="45">
        <v>1.46</v>
      </c>
      <c r="E393" s="45">
        <v>1.577</v>
      </c>
      <c r="F393" s="46">
        <v>1.65</v>
      </c>
      <c r="G393" s="46"/>
      <c r="H393" s="46"/>
      <c r="I393" s="12" t="s">
        <v>3</v>
      </c>
      <c r="J393" s="42">
        <v>1.46</v>
      </c>
      <c r="K393" s="78"/>
    </row>
    <row r="394" spans="1:11" s="43" customFormat="1" ht="23.25" customHeight="1" x14ac:dyDescent="0.25">
      <c r="A394" s="52" t="s">
        <v>739</v>
      </c>
      <c r="B394" s="53" t="s">
        <v>740</v>
      </c>
      <c r="C394" s="14">
        <v>1</v>
      </c>
      <c r="D394" s="54">
        <v>16.433</v>
      </c>
      <c r="E394" s="54">
        <f>14.6</f>
        <v>14.6</v>
      </c>
      <c r="F394" s="55">
        <v>4.5</v>
      </c>
      <c r="G394" s="55"/>
      <c r="H394" s="55"/>
      <c r="I394" s="15" t="s">
        <v>918</v>
      </c>
      <c r="J394" s="56">
        <v>4.5</v>
      </c>
      <c r="K394" s="78"/>
    </row>
    <row r="395" spans="1:11" s="43" customFormat="1" ht="23.25" customHeight="1" x14ac:dyDescent="0.25">
      <c r="A395" s="47" t="s">
        <v>741</v>
      </c>
      <c r="B395" s="48" t="s">
        <v>742</v>
      </c>
      <c r="C395" s="16">
        <v>1</v>
      </c>
      <c r="D395" s="49">
        <v>11.8</v>
      </c>
      <c r="E395" s="49">
        <f>17.993/2</f>
        <v>8.9964999999999993</v>
      </c>
      <c r="F395" s="50">
        <v>11.2</v>
      </c>
      <c r="G395" s="50"/>
      <c r="H395" s="50"/>
      <c r="I395" s="17" t="s">
        <v>913</v>
      </c>
      <c r="J395" s="51">
        <v>9</v>
      </c>
      <c r="K395" s="78"/>
    </row>
    <row r="396" spans="1:11" s="43" customFormat="1" ht="23.25" customHeight="1" x14ac:dyDescent="0.25">
      <c r="A396" s="41" t="s">
        <v>743</v>
      </c>
      <c r="B396" s="44" t="s">
        <v>744</v>
      </c>
      <c r="C396" s="13">
        <v>200</v>
      </c>
      <c r="D396" s="45">
        <f>9.5/200</f>
        <v>4.7500000000000001E-2</v>
      </c>
      <c r="E396" s="45"/>
      <c r="F396" s="46"/>
      <c r="G396" s="46"/>
      <c r="H396" s="46"/>
      <c r="I396" s="12" t="s">
        <v>3</v>
      </c>
      <c r="J396" s="42">
        <v>0.05</v>
      </c>
      <c r="K396" s="78"/>
    </row>
    <row r="397" spans="1:11" s="43" customFormat="1" ht="23.25" customHeight="1" x14ac:dyDescent="0.25">
      <c r="A397" s="41" t="s">
        <v>745</v>
      </c>
      <c r="B397" s="44" t="s">
        <v>746</v>
      </c>
      <c r="C397" s="13">
        <v>200</v>
      </c>
      <c r="D397" s="45">
        <f>12.81/200</f>
        <v>6.4049999999999996E-2</v>
      </c>
      <c r="E397" s="45"/>
      <c r="F397" s="46"/>
      <c r="G397" s="46"/>
      <c r="H397" s="46"/>
      <c r="I397" s="12" t="s">
        <v>3</v>
      </c>
      <c r="J397" s="42">
        <v>0.06</v>
      </c>
      <c r="K397" s="78"/>
    </row>
    <row r="398" spans="1:11" s="43" customFormat="1" ht="23.25" customHeight="1" x14ac:dyDescent="0.25">
      <c r="A398" s="41" t="s">
        <v>747</v>
      </c>
      <c r="B398" s="44" t="s">
        <v>748</v>
      </c>
      <c r="C398" s="13">
        <v>200</v>
      </c>
      <c r="D398" s="45">
        <f>9.41/200</f>
        <v>4.7050000000000002E-2</v>
      </c>
      <c r="E398" s="45"/>
      <c r="F398" s="46"/>
      <c r="G398" s="46"/>
      <c r="H398" s="46"/>
      <c r="I398" s="12" t="s">
        <v>3</v>
      </c>
      <c r="J398" s="42">
        <v>0.05</v>
      </c>
      <c r="K398" s="78"/>
    </row>
    <row r="399" spans="1:11" s="43" customFormat="1" ht="23.25" customHeight="1" x14ac:dyDescent="0.25">
      <c r="A399" s="47" t="s">
        <v>749</v>
      </c>
      <c r="B399" s="48" t="s">
        <v>750</v>
      </c>
      <c r="C399" s="16">
        <v>200</v>
      </c>
      <c r="D399" s="171">
        <f>11.11/200</f>
        <v>5.5549999999999995E-2</v>
      </c>
      <c r="E399" s="171">
        <f>8.06/200</f>
        <v>4.0300000000000002E-2</v>
      </c>
      <c r="F399" s="172"/>
      <c r="G399" s="172"/>
      <c r="H399" s="50">
        <f>9.355/200</f>
        <v>4.6775000000000004E-2</v>
      </c>
      <c r="I399" s="17" t="s">
        <v>913</v>
      </c>
      <c r="J399" s="51">
        <v>3.8199999999999998E-2</v>
      </c>
      <c r="K399" s="78"/>
    </row>
    <row r="400" spans="1:11" s="43" customFormat="1" ht="23.25" customHeight="1" x14ac:dyDescent="0.25">
      <c r="A400" s="104" t="s">
        <v>751</v>
      </c>
      <c r="B400" s="105" t="s">
        <v>752</v>
      </c>
      <c r="C400" s="106">
        <v>200</v>
      </c>
      <c r="D400" s="111">
        <f>11.39/200</f>
        <v>5.6950000000000001E-2</v>
      </c>
      <c r="E400" s="111"/>
      <c r="F400" s="114"/>
      <c r="G400" s="114"/>
      <c r="H400" s="108">
        <v>4.5999999999999999E-2</v>
      </c>
      <c r="I400" s="109" t="s">
        <v>910</v>
      </c>
      <c r="J400" s="110">
        <v>4.65E-2</v>
      </c>
      <c r="K400" s="78"/>
    </row>
    <row r="401" spans="1:11" s="43" customFormat="1" ht="23.25" customHeight="1" x14ac:dyDescent="0.25">
      <c r="A401" s="52" t="s">
        <v>753</v>
      </c>
      <c r="B401" s="53" t="s">
        <v>754</v>
      </c>
      <c r="C401" s="14">
        <v>1</v>
      </c>
      <c r="D401" s="54">
        <v>14.782</v>
      </c>
      <c r="E401" s="54">
        <f>6.007*2</f>
        <v>12.013999999999999</v>
      </c>
      <c r="F401" s="55">
        <f>2.99*4</f>
        <v>11.96</v>
      </c>
      <c r="G401" s="55"/>
      <c r="H401" s="55"/>
      <c r="I401" s="15" t="s">
        <v>918</v>
      </c>
      <c r="J401" s="56">
        <v>11.96</v>
      </c>
      <c r="K401" s="78"/>
    </row>
    <row r="402" spans="1:11" s="43" customFormat="1" ht="23.25" customHeight="1" x14ac:dyDescent="0.25">
      <c r="A402" s="47" t="s">
        <v>755</v>
      </c>
      <c r="B402" s="48" t="s">
        <v>756</v>
      </c>
      <c r="C402" s="16">
        <v>1</v>
      </c>
      <c r="D402" s="49">
        <v>6.3040000000000003</v>
      </c>
      <c r="E402" s="49">
        <v>6.242</v>
      </c>
      <c r="F402" s="50"/>
      <c r="G402" s="50"/>
      <c r="H402" s="50"/>
      <c r="I402" s="17" t="s">
        <v>913</v>
      </c>
      <c r="J402" s="51">
        <v>6.24</v>
      </c>
      <c r="K402" s="78"/>
    </row>
    <row r="403" spans="1:11" s="43" customFormat="1" ht="23.25" customHeight="1" x14ac:dyDescent="0.25">
      <c r="A403" s="104" t="s">
        <v>757</v>
      </c>
      <c r="B403" s="105" t="s">
        <v>758</v>
      </c>
      <c r="C403" s="106">
        <v>1</v>
      </c>
      <c r="D403" s="107">
        <v>8.9499999999999993</v>
      </c>
      <c r="E403" s="107">
        <v>10.1</v>
      </c>
      <c r="F403" s="108"/>
      <c r="G403" s="108"/>
      <c r="H403" s="108">
        <v>7.55</v>
      </c>
      <c r="I403" s="109" t="s">
        <v>910</v>
      </c>
      <c r="J403" s="110">
        <v>7.55</v>
      </c>
      <c r="K403" s="78"/>
    </row>
    <row r="404" spans="1:11" s="43" customFormat="1" ht="23.25" customHeight="1" x14ac:dyDescent="0.25">
      <c r="A404" s="47" t="s">
        <v>759</v>
      </c>
      <c r="B404" s="48" t="s">
        <v>760</v>
      </c>
      <c r="C404" s="16">
        <v>1</v>
      </c>
      <c r="D404" s="49">
        <v>2.5499999999999998</v>
      </c>
      <c r="E404" s="49">
        <v>1.2909999999999999</v>
      </c>
      <c r="F404" s="50"/>
      <c r="G404" s="50"/>
      <c r="H404" s="50"/>
      <c r="I404" s="17" t="s">
        <v>913</v>
      </c>
      <c r="J404" s="51">
        <v>1.2909999999999999</v>
      </c>
      <c r="K404" s="78"/>
    </row>
    <row r="405" spans="1:11" s="43" customFormat="1" ht="23.25" customHeight="1" x14ac:dyDescent="0.25">
      <c r="A405" s="95"/>
      <c r="B405" s="98" t="s">
        <v>761</v>
      </c>
      <c r="C405" s="99">
        <v>1</v>
      </c>
      <c r="D405" s="100"/>
      <c r="E405" s="100"/>
      <c r="F405" s="101"/>
      <c r="G405" s="101"/>
      <c r="H405" s="101"/>
      <c r="I405" s="96" t="s">
        <v>919</v>
      </c>
      <c r="J405" s="97">
        <f>+OUTILS!H62</f>
        <v>2.4298560209424083</v>
      </c>
      <c r="K405" s="78"/>
    </row>
    <row r="406" spans="1:11" s="43" customFormat="1" ht="23.25" customHeight="1" x14ac:dyDescent="0.25">
      <c r="A406"/>
      <c r="B406" s="2" t="s">
        <v>762</v>
      </c>
      <c r="C406" s="3">
        <v>100</v>
      </c>
      <c r="D406" s="4"/>
      <c r="E406" s="4"/>
      <c r="F406" s="5"/>
      <c r="G406" s="5"/>
      <c r="H406" s="5"/>
      <c r="I406" s="8" t="s">
        <v>3</v>
      </c>
      <c r="J406" s="1">
        <v>11.05</v>
      </c>
      <c r="K406" s="78"/>
    </row>
    <row r="407" spans="1:11" s="43" customFormat="1" ht="23.25" customHeight="1" x14ac:dyDescent="0.25">
      <c r="A407" s="63" t="s">
        <v>763</v>
      </c>
      <c r="B407" s="64" t="s">
        <v>764</v>
      </c>
      <c r="C407" s="23">
        <v>1</v>
      </c>
      <c r="D407" s="65"/>
      <c r="E407" s="65"/>
      <c r="F407" s="66"/>
      <c r="G407" s="66">
        <v>0.14000000000000001</v>
      </c>
      <c r="H407" s="66"/>
      <c r="I407" s="22" t="s">
        <v>921</v>
      </c>
      <c r="J407" s="67">
        <v>0.14000000000000001</v>
      </c>
      <c r="K407" s="78"/>
    </row>
    <row r="408" spans="1:11" s="43" customFormat="1" ht="23.25" customHeight="1" x14ac:dyDescent="0.25">
      <c r="A408" s="41"/>
      <c r="B408" s="44" t="s">
        <v>765</v>
      </c>
      <c r="C408" s="13">
        <v>100</v>
      </c>
      <c r="D408" s="45">
        <f>4.883/100</f>
        <v>4.8829999999999998E-2</v>
      </c>
      <c r="E408" s="45"/>
      <c r="F408" s="46"/>
      <c r="G408" s="46"/>
      <c r="H408" s="46"/>
      <c r="I408" s="12" t="s">
        <v>3</v>
      </c>
      <c r="J408" s="42">
        <f>+D408</f>
        <v>4.8829999999999998E-2</v>
      </c>
      <c r="K408" s="78"/>
    </row>
    <row r="409" spans="1:11" s="43" customFormat="1" ht="23.25" customHeight="1" x14ac:dyDescent="0.25">
      <c r="A409" s="47" t="s">
        <v>766</v>
      </c>
      <c r="B409" s="48" t="s">
        <v>767</v>
      </c>
      <c r="C409" s="16">
        <v>100</v>
      </c>
      <c r="D409" s="49">
        <f>12.8/100</f>
        <v>0.128</v>
      </c>
      <c r="E409" s="49">
        <f>9.24/100</f>
        <v>9.2399999999999996E-2</v>
      </c>
      <c r="F409" s="50"/>
      <c r="G409" s="50"/>
      <c r="H409" s="50"/>
      <c r="I409" s="17" t="s">
        <v>913</v>
      </c>
      <c r="J409" s="51">
        <v>0.09</v>
      </c>
      <c r="K409" s="78"/>
    </row>
    <row r="410" spans="1:11" s="43" customFormat="1" ht="23.25" customHeight="1" x14ac:dyDescent="0.25">
      <c r="A410" s="47" t="s">
        <v>768</v>
      </c>
      <c r="B410" s="48" t="s">
        <v>769</v>
      </c>
      <c r="C410" s="16">
        <v>100</v>
      </c>
      <c r="D410" s="49">
        <f>15.6/100</f>
        <v>0.156</v>
      </c>
      <c r="E410" s="49">
        <f>10.84/100</f>
        <v>0.1084</v>
      </c>
      <c r="F410" s="50"/>
      <c r="G410" s="50"/>
      <c r="H410" s="50"/>
      <c r="I410" s="17" t="s">
        <v>913</v>
      </c>
      <c r="J410" s="51">
        <v>0.11</v>
      </c>
      <c r="K410" s="78"/>
    </row>
    <row r="411" spans="1:11" s="43" customFormat="1" ht="23.25" customHeight="1" x14ac:dyDescent="0.25">
      <c r="A411" s="104" t="s">
        <v>770</v>
      </c>
      <c r="B411" s="105" t="s">
        <v>771</v>
      </c>
      <c r="C411" s="106">
        <v>200</v>
      </c>
      <c r="D411" s="107">
        <v>9.8000000000000007</v>
      </c>
      <c r="E411" s="107">
        <v>7.452</v>
      </c>
      <c r="F411" s="108"/>
      <c r="G411" s="108"/>
      <c r="H411" s="108">
        <f>0.032*200</f>
        <v>6.4</v>
      </c>
      <c r="I411" s="109" t="s">
        <v>910</v>
      </c>
      <c r="J411" s="110">
        <v>6.4</v>
      </c>
      <c r="K411" s="78"/>
    </row>
    <row r="412" spans="1:11" s="43" customFormat="1" ht="23.25" customHeight="1" x14ac:dyDescent="0.25">
      <c r="A412" s="104" t="s">
        <v>772</v>
      </c>
      <c r="B412" s="105" t="s">
        <v>773</v>
      </c>
      <c r="C412" s="106">
        <v>200</v>
      </c>
      <c r="D412" s="107">
        <v>9.5</v>
      </c>
      <c r="E412" s="107">
        <v>6.6</v>
      </c>
      <c r="F412" s="108"/>
      <c r="G412" s="108"/>
      <c r="H412" s="108">
        <f>7.25/250*200</f>
        <v>5.8000000000000007</v>
      </c>
      <c r="I412" s="109" t="s">
        <v>910</v>
      </c>
      <c r="J412" s="110">
        <v>5.8</v>
      </c>
      <c r="K412" s="78"/>
    </row>
    <row r="413" spans="1:11" s="43" customFormat="1" ht="23.25" customHeight="1" x14ac:dyDescent="0.25">
      <c r="A413" s="47" t="s">
        <v>774</v>
      </c>
      <c r="B413" s="48" t="s">
        <v>775</v>
      </c>
      <c r="C413" s="16">
        <v>200</v>
      </c>
      <c r="D413" s="49"/>
      <c r="E413" s="49">
        <v>4.5419999999999998</v>
      </c>
      <c r="F413" s="50"/>
      <c r="G413" s="50"/>
      <c r="H413" s="50"/>
      <c r="I413" s="17" t="s">
        <v>913</v>
      </c>
      <c r="J413" s="51">
        <v>4.5419999999999998</v>
      </c>
      <c r="K413" s="78"/>
    </row>
    <row r="414" spans="1:11" s="43" customFormat="1" ht="23.25" customHeight="1" x14ac:dyDescent="0.25">
      <c r="A414" s="104" t="s">
        <v>776</v>
      </c>
      <c r="B414" s="105" t="s">
        <v>777</v>
      </c>
      <c r="C414" s="106">
        <v>200</v>
      </c>
      <c r="D414" s="107">
        <v>7.8</v>
      </c>
      <c r="E414" s="107">
        <v>5.2629999999999999</v>
      </c>
      <c r="F414" s="108"/>
      <c r="G414" s="108"/>
      <c r="H414" s="108">
        <f>5.65/250*200</f>
        <v>4.5200000000000005</v>
      </c>
      <c r="I414" s="109" t="s">
        <v>910</v>
      </c>
      <c r="J414" s="110">
        <v>4.5199999999999996</v>
      </c>
      <c r="K414" s="78"/>
    </row>
    <row r="415" spans="1:11" s="43" customFormat="1" ht="23.25" customHeight="1" x14ac:dyDescent="0.25">
      <c r="A415" s="41" t="s">
        <v>778</v>
      </c>
      <c r="B415" s="44" t="s">
        <v>779</v>
      </c>
      <c r="C415" s="13">
        <v>1000</v>
      </c>
      <c r="D415" s="45">
        <f>32.5/1000</f>
        <v>3.2500000000000001E-2</v>
      </c>
      <c r="E415" s="45">
        <f>33.08/1000</f>
        <v>3.3079999999999998E-2</v>
      </c>
      <c r="F415" s="46"/>
      <c r="G415" s="46"/>
      <c r="H415" s="46"/>
      <c r="I415" s="12" t="s">
        <v>3</v>
      </c>
      <c r="J415" s="42">
        <v>0.03</v>
      </c>
      <c r="K415" s="78"/>
    </row>
    <row r="416" spans="1:11" s="43" customFormat="1" ht="23.25" customHeight="1" x14ac:dyDescent="0.25">
      <c r="A416" s="41" t="s">
        <v>780</v>
      </c>
      <c r="B416" s="44" t="s">
        <v>781</v>
      </c>
      <c r="C416" s="13">
        <v>250</v>
      </c>
      <c r="D416" s="45">
        <v>0.1</v>
      </c>
      <c r="E416" s="45">
        <v>0.12</v>
      </c>
      <c r="F416" s="46"/>
      <c r="G416" s="46"/>
      <c r="H416" s="46"/>
      <c r="I416" s="12" t="s">
        <v>3</v>
      </c>
      <c r="J416" s="42">
        <v>0.1</v>
      </c>
      <c r="K416" s="78"/>
    </row>
    <row r="417" spans="1:11" s="43" customFormat="1" ht="23.25" customHeight="1" x14ac:dyDescent="0.25">
      <c r="A417" s="47" t="s">
        <v>782</v>
      </c>
      <c r="B417" s="48" t="s">
        <v>783</v>
      </c>
      <c r="C417" s="16">
        <v>100</v>
      </c>
      <c r="D417" s="49"/>
      <c r="E417" s="49">
        <f>10.843/100</f>
        <v>0.10843</v>
      </c>
      <c r="F417" s="50"/>
      <c r="G417" s="50"/>
      <c r="H417" s="50"/>
      <c r="I417" s="17" t="s">
        <v>913</v>
      </c>
      <c r="J417" s="51">
        <v>0.11</v>
      </c>
      <c r="K417" s="78"/>
    </row>
    <row r="418" spans="1:11" s="43" customFormat="1" ht="23.25" customHeight="1" x14ac:dyDescent="0.25">
      <c r="A418" s="41" t="s">
        <v>784</v>
      </c>
      <c r="B418" s="44" t="s">
        <v>785</v>
      </c>
      <c r="C418" s="13">
        <v>1000</v>
      </c>
      <c r="D418" s="45">
        <f>8.5/1000</f>
        <v>8.5000000000000006E-3</v>
      </c>
      <c r="E418" s="45">
        <v>1.0999999999999999E-2</v>
      </c>
      <c r="F418" s="46"/>
      <c r="G418" s="46"/>
      <c r="H418" s="46"/>
      <c r="I418" s="12" t="s">
        <v>3</v>
      </c>
      <c r="J418" s="42">
        <v>0.01</v>
      </c>
      <c r="K418" s="78"/>
    </row>
    <row r="419" spans="1:11" s="43" customFormat="1" ht="23.25" customHeight="1" x14ac:dyDescent="0.25">
      <c r="A419" s="41" t="s">
        <v>786</v>
      </c>
      <c r="B419" s="44" t="s">
        <v>787</v>
      </c>
      <c r="C419" s="13">
        <v>1000</v>
      </c>
      <c r="D419" s="45">
        <f>9.5/1000</f>
        <v>9.4999999999999998E-3</v>
      </c>
      <c r="E419" s="45">
        <f>11.6/1000</f>
        <v>1.1599999999999999E-2</v>
      </c>
      <c r="F419" s="46"/>
      <c r="G419" s="46"/>
      <c r="H419" s="46"/>
      <c r="I419" s="12" t="s">
        <v>3</v>
      </c>
      <c r="J419" s="42">
        <v>0.01</v>
      </c>
      <c r="K419" s="78"/>
    </row>
    <row r="420" spans="1:11" s="43" customFormat="1" ht="23.25" customHeight="1" x14ac:dyDescent="0.25">
      <c r="A420" s="41" t="s">
        <v>788</v>
      </c>
      <c r="B420" s="44" t="s">
        <v>789</v>
      </c>
      <c r="C420" s="13">
        <v>1000</v>
      </c>
      <c r="D420" s="45">
        <f>11.5/1000</f>
        <v>1.15E-2</v>
      </c>
      <c r="E420" s="45">
        <f>13.78/1000</f>
        <v>1.3779999999999999E-2</v>
      </c>
      <c r="F420" s="46"/>
      <c r="G420" s="46"/>
      <c r="H420" s="46"/>
      <c r="I420" s="12" t="s">
        <v>3</v>
      </c>
      <c r="J420" s="42">
        <v>0.01</v>
      </c>
      <c r="K420" s="78"/>
    </row>
    <row r="421" spans="1:11" s="43" customFormat="1" ht="23.25" customHeight="1" x14ac:dyDescent="0.25">
      <c r="A421" s="47" t="s">
        <v>790</v>
      </c>
      <c r="B421" s="48" t="s">
        <v>791</v>
      </c>
      <c r="C421" s="16">
        <v>2000</v>
      </c>
      <c r="D421" s="49">
        <v>0.11</v>
      </c>
      <c r="E421" s="49">
        <f>117.83/2500</f>
        <v>4.7132E-2</v>
      </c>
      <c r="F421" s="50"/>
      <c r="G421" s="50"/>
      <c r="H421" s="50"/>
      <c r="I421" s="17" t="s">
        <v>913</v>
      </c>
      <c r="J421" s="51">
        <v>0.05</v>
      </c>
      <c r="K421" s="78"/>
    </row>
    <row r="422" spans="1:11" s="43" customFormat="1" ht="23.25" customHeight="1" x14ac:dyDescent="0.25">
      <c r="A422" s="52" t="s">
        <v>792</v>
      </c>
      <c r="B422" s="53" t="s">
        <v>793</v>
      </c>
      <c r="C422" s="14">
        <v>20</v>
      </c>
      <c r="D422" s="54">
        <v>8.2330000000000005</v>
      </c>
      <c r="E422" s="54">
        <v>5.27</v>
      </c>
      <c r="F422" s="55">
        <v>5</v>
      </c>
      <c r="G422" s="55"/>
      <c r="H422" s="55"/>
      <c r="I422" s="15" t="s">
        <v>918</v>
      </c>
      <c r="J422" s="56">
        <v>5</v>
      </c>
      <c r="K422" s="78"/>
    </row>
    <row r="423" spans="1:11" s="43" customFormat="1" ht="23.25" customHeight="1" x14ac:dyDescent="0.25">
      <c r="A423" s="47" t="s">
        <v>794</v>
      </c>
      <c r="B423" s="48" t="s">
        <v>795</v>
      </c>
      <c r="C423" s="16">
        <v>1000</v>
      </c>
      <c r="D423" s="49">
        <v>21.92</v>
      </c>
      <c r="E423" s="49">
        <v>15.39</v>
      </c>
      <c r="F423" s="50"/>
      <c r="G423" s="50"/>
      <c r="H423" s="50"/>
      <c r="I423" s="17" t="s">
        <v>913</v>
      </c>
      <c r="J423" s="51">
        <v>15.39</v>
      </c>
      <c r="K423" s="78"/>
    </row>
    <row r="424" spans="1:11" s="43" customFormat="1" ht="23.25" customHeight="1" x14ac:dyDescent="0.25">
      <c r="A424" s="57" t="s">
        <v>796</v>
      </c>
      <c r="B424" s="58" t="s">
        <v>797</v>
      </c>
      <c r="C424" s="20">
        <v>1</v>
      </c>
      <c r="D424" s="59"/>
      <c r="E424" s="59"/>
      <c r="F424" s="60"/>
      <c r="G424" s="60">
        <v>4.95</v>
      </c>
      <c r="H424" s="60"/>
      <c r="I424" s="19" t="s">
        <v>916</v>
      </c>
      <c r="J424" s="61">
        <v>4.95</v>
      </c>
      <c r="K424" s="78"/>
    </row>
    <row r="425" spans="1:11" s="43" customFormat="1" ht="23.25" customHeight="1" x14ac:dyDescent="0.25">
      <c r="A425" s="41" t="s">
        <v>798</v>
      </c>
      <c r="B425" s="44" t="s">
        <v>799</v>
      </c>
      <c r="C425" s="13">
        <v>1</v>
      </c>
      <c r="D425" s="45">
        <v>1.875</v>
      </c>
      <c r="E425" s="45"/>
      <c r="F425" s="46"/>
      <c r="G425" s="46"/>
      <c r="H425" s="46"/>
      <c r="I425" s="12" t="s">
        <v>3</v>
      </c>
      <c r="J425" s="42">
        <v>1.88</v>
      </c>
      <c r="K425" s="78"/>
    </row>
    <row r="426" spans="1:11" s="43" customFormat="1" ht="23.25" customHeight="1" x14ac:dyDescent="0.25">
      <c r="A426" s="57" t="s">
        <v>800</v>
      </c>
      <c r="B426" s="58" t="s">
        <v>801</v>
      </c>
      <c r="C426" s="20">
        <v>0.25</v>
      </c>
      <c r="D426" s="59"/>
      <c r="E426" s="59"/>
      <c r="F426" s="60"/>
      <c r="G426" s="60">
        <v>1.95</v>
      </c>
      <c r="H426" s="60"/>
      <c r="I426" s="19" t="s">
        <v>916</v>
      </c>
      <c r="J426" s="61">
        <v>1.95</v>
      </c>
      <c r="K426" s="78"/>
    </row>
    <row r="427" spans="1:11" s="43" customFormat="1" ht="23.25" customHeight="1" x14ac:dyDescent="0.25">
      <c r="A427" s="57" t="s">
        <v>802</v>
      </c>
      <c r="B427" s="58" t="s">
        <v>803</v>
      </c>
      <c r="C427" s="20">
        <v>0.25</v>
      </c>
      <c r="D427" s="59"/>
      <c r="E427" s="59"/>
      <c r="F427" s="60"/>
      <c r="G427" s="60">
        <v>2.2000000000000002</v>
      </c>
      <c r="H427" s="60"/>
      <c r="I427" s="19" t="s">
        <v>916</v>
      </c>
      <c r="J427" s="61">
        <v>2.2000000000000002</v>
      </c>
      <c r="K427" s="78"/>
    </row>
    <row r="428" spans="1:11" s="43" customFormat="1" ht="23.25" customHeight="1" x14ac:dyDescent="0.25">
      <c r="A428" s="41" t="s">
        <v>804</v>
      </c>
      <c r="B428" s="44" t="s">
        <v>805</v>
      </c>
      <c r="C428" s="13">
        <v>24</v>
      </c>
      <c r="D428" s="45">
        <v>0.44</v>
      </c>
      <c r="E428" s="45"/>
      <c r="F428" s="46"/>
      <c r="G428" s="46"/>
      <c r="H428" s="46">
        <v>0.51500000000000001</v>
      </c>
      <c r="I428" s="12" t="s">
        <v>3</v>
      </c>
      <c r="J428" s="42">
        <v>0.44</v>
      </c>
      <c r="K428" s="78"/>
    </row>
    <row r="429" spans="1:11" s="43" customFormat="1" ht="23.25" customHeight="1" x14ac:dyDescent="0.25">
      <c r="A429" s="104"/>
      <c r="B429" s="105" t="s">
        <v>806</v>
      </c>
      <c r="C429" s="106">
        <v>1</v>
      </c>
      <c r="D429" s="107">
        <v>4.38</v>
      </c>
      <c r="E429" s="107"/>
      <c r="F429" s="108"/>
      <c r="G429" s="108"/>
      <c r="H429" s="108">
        <v>4.0999999999999996</v>
      </c>
      <c r="I429" s="109" t="s">
        <v>910</v>
      </c>
      <c r="J429" s="110">
        <v>4.0999999999999996</v>
      </c>
      <c r="K429" s="78"/>
    </row>
    <row r="430" spans="1:11" s="43" customFormat="1" ht="23.25" customHeight="1" x14ac:dyDescent="0.25">
      <c r="A430" s="52" t="s">
        <v>807</v>
      </c>
      <c r="B430" s="53" t="s">
        <v>808</v>
      </c>
      <c r="C430" s="14">
        <v>1</v>
      </c>
      <c r="D430" s="54">
        <v>3.68</v>
      </c>
      <c r="E430" s="54">
        <v>6.3390000000000004</v>
      </c>
      <c r="F430" s="55">
        <v>2.94</v>
      </c>
      <c r="G430" s="55"/>
      <c r="H430" s="55"/>
      <c r="I430" s="15" t="s">
        <v>918</v>
      </c>
      <c r="J430" s="56">
        <v>2.69</v>
      </c>
      <c r="K430" s="78"/>
    </row>
    <row r="431" spans="1:11" s="43" customFormat="1" ht="23.25" customHeight="1" x14ac:dyDescent="0.25">
      <c r="A431" s="52" t="s">
        <v>809</v>
      </c>
      <c r="B431" s="53" t="s">
        <v>810</v>
      </c>
      <c r="C431" s="14">
        <v>1</v>
      </c>
      <c r="D431" s="54">
        <v>3.5</v>
      </c>
      <c r="E431" s="54">
        <v>4.54</v>
      </c>
      <c r="F431" s="55">
        <v>3.1</v>
      </c>
      <c r="G431" s="55"/>
      <c r="H431" s="55"/>
      <c r="I431" s="15" t="s">
        <v>918</v>
      </c>
      <c r="J431" s="56">
        <v>3.1</v>
      </c>
      <c r="K431" s="78"/>
    </row>
    <row r="432" spans="1:11" s="43" customFormat="1" ht="23.25" customHeight="1" x14ac:dyDescent="0.25">
      <c r="A432" s="52"/>
      <c r="B432" s="53" t="s">
        <v>811</v>
      </c>
      <c r="C432" s="14">
        <v>1</v>
      </c>
      <c r="D432" s="54">
        <v>4.07</v>
      </c>
      <c r="E432" s="54"/>
      <c r="F432" s="55">
        <v>3.69</v>
      </c>
      <c r="G432" s="55"/>
      <c r="H432" s="55"/>
      <c r="I432" s="15" t="s">
        <v>918</v>
      </c>
      <c r="J432" s="56">
        <v>3.69</v>
      </c>
      <c r="K432" s="78"/>
    </row>
    <row r="433" spans="1:11" s="43" customFormat="1" ht="23.25" customHeight="1" x14ac:dyDescent="0.25">
      <c r="A433" s="52" t="s">
        <v>812</v>
      </c>
      <c r="B433" s="53" t="s">
        <v>813</v>
      </c>
      <c r="C433" s="14">
        <v>1</v>
      </c>
      <c r="D433" s="54">
        <v>3.45</v>
      </c>
      <c r="E433" s="54">
        <v>3.81</v>
      </c>
      <c r="F433" s="55">
        <v>3.28</v>
      </c>
      <c r="G433" s="55"/>
      <c r="H433" s="55"/>
      <c r="I433" s="15" t="s">
        <v>918</v>
      </c>
      <c r="J433" s="56">
        <v>3.03</v>
      </c>
      <c r="K433" s="78"/>
    </row>
    <row r="434" spans="1:11" s="43" customFormat="1" ht="23.25" customHeight="1" x14ac:dyDescent="0.25">
      <c r="A434" s="104"/>
      <c r="B434" s="105" t="s">
        <v>814</v>
      </c>
      <c r="C434" s="106">
        <v>1</v>
      </c>
      <c r="D434" s="107">
        <v>5.41</v>
      </c>
      <c r="E434" s="107"/>
      <c r="F434" s="108"/>
      <c r="G434" s="108"/>
      <c r="H434" s="108">
        <v>3.99</v>
      </c>
      <c r="I434" s="109" t="s">
        <v>910</v>
      </c>
      <c r="J434" s="110">
        <v>3.99</v>
      </c>
      <c r="K434" s="78"/>
    </row>
    <row r="435" spans="1:11" s="43" customFormat="1" ht="23.25" customHeight="1" x14ac:dyDescent="0.25">
      <c r="A435" s="52" t="s">
        <v>815</v>
      </c>
      <c r="B435" s="53" t="s">
        <v>816</v>
      </c>
      <c r="C435" s="14">
        <v>1</v>
      </c>
      <c r="D435" s="54">
        <v>3.16</v>
      </c>
      <c r="E435" s="54">
        <v>3.15</v>
      </c>
      <c r="F435" s="55">
        <v>2.75</v>
      </c>
      <c r="G435" s="55"/>
      <c r="H435" s="55"/>
      <c r="I435" s="15" t="s">
        <v>918</v>
      </c>
      <c r="J435" s="56">
        <v>2.75</v>
      </c>
      <c r="K435" s="78"/>
    </row>
    <row r="436" spans="1:11" s="43" customFormat="1" ht="23.25" customHeight="1" x14ac:dyDescent="0.25">
      <c r="A436" s="52"/>
      <c r="B436" s="53" t="s">
        <v>817</v>
      </c>
      <c r="C436" s="14">
        <v>5</v>
      </c>
      <c r="D436" s="54"/>
      <c r="E436" s="54"/>
      <c r="F436" s="55">
        <v>2.8</v>
      </c>
      <c r="G436" s="55"/>
      <c r="H436" s="55"/>
      <c r="I436" s="15" t="s">
        <v>918</v>
      </c>
      <c r="J436" s="56">
        <v>2.8</v>
      </c>
      <c r="K436" s="78"/>
    </row>
    <row r="437" spans="1:11" s="43" customFormat="1" ht="23.25" customHeight="1" x14ac:dyDescent="0.25">
      <c r="A437" s="52" t="s">
        <v>818</v>
      </c>
      <c r="B437" s="53" t="s">
        <v>819</v>
      </c>
      <c r="C437" s="14">
        <v>1</v>
      </c>
      <c r="D437" s="54">
        <v>5.29</v>
      </c>
      <c r="E437" s="54"/>
      <c r="F437" s="55">
        <v>4.1900000000000004</v>
      </c>
      <c r="G437" s="55"/>
      <c r="H437" s="55">
        <v>4.8499999999999996</v>
      </c>
      <c r="I437" s="15" t="s">
        <v>918</v>
      </c>
      <c r="J437" s="56">
        <v>3.94</v>
      </c>
      <c r="K437" s="78"/>
    </row>
    <row r="438" spans="1:11" s="43" customFormat="1" ht="23.25" customHeight="1" x14ac:dyDescent="0.25">
      <c r="A438" s="47" t="s">
        <v>563</v>
      </c>
      <c r="B438" s="48" t="s">
        <v>820</v>
      </c>
      <c r="C438" s="16">
        <v>100</v>
      </c>
      <c r="D438" s="49">
        <v>8.5</v>
      </c>
      <c r="E438" s="49">
        <f>4.99/150*100</f>
        <v>3.3266666666666667</v>
      </c>
      <c r="F438" s="50">
        <v>16.55</v>
      </c>
      <c r="G438" s="50"/>
      <c r="H438" s="50"/>
      <c r="I438" s="17" t="s">
        <v>913</v>
      </c>
      <c r="J438" s="51">
        <v>3.26</v>
      </c>
      <c r="K438" s="78"/>
    </row>
    <row r="439" spans="1:11" s="43" customFormat="1" ht="23.25" customHeight="1" x14ac:dyDescent="0.25">
      <c r="A439" s="52" t="s">
        <v>821</v>
      </c>
      <c r="B439" s="53" t="s">
        <v>822</v>
      </c>
      <c r="C439" s="14">
        <v>1</v>
      </c>
      <c r="D439" s="54">
        <f>12.667*2</f>
        <v>25.334</v>
      </c>
      <c r="E439" s="54">
        <f>6.77/0.3</f>
        <v>22.566666666666666</v>
      </c>
      <c r="F439" s="55">
        <v>12.5</v>
      </c>
      <c r="G439" s="55"/>
      <c r="H439" s="55"/>
      <c r="I439" s="15" t="s">
        <v>918</v>
      </c>
      <c r="J439" s="56">
        <v>12.5</v>
      </c>
      <c r="K439" s="78"/>
    </row>
    <row r="440" spans="1:11" s="43" customFormat="1" ht="23.25" customHeight="1" x14ac:dyDescent="0.25">
      <c r="A440" s="47" t="s">
        <v>823</v>
      </c>
      <c r="B440" s="48" t="s">
        <v>824</v>
      </c>
      <c r="C440" s="16">
        <v>112</v>
      </c>
      <c r="D440" s="49">
        <v>43.16</v>
      </c>
      <c r="E440" s="49">
        <v>38.32</v>
      </c>
      <c r="F440" s="50"/>
      <c r="G440" s="50"/>
      <c r="H440" s="50"/>
      <c r="I440" s="17" t="s">
        <v>913</v>
      </c>
      <c r="J440" s="51">
        <v>38.32</v>
      </c>
      <c r="K440" s="78"/>
    </row>
    <row r="441" spans="1:11" s="43" customFormat="1" ht="23.25" customHeight="1" x14ac:dyDescent="0.25">
      <c r="A441" s="41"/>
      <c r="B441" s="44" t="s">
        <v>825</v>
      </c>
      <c r="C441" s="13">
        <v>24</v>
      </c>
      <c r="D441" s="45">
        <v>0.61499999999999999</v>
      </c>
      <c r="E441" s="45"/>
      <c r="F441" s="46"/>
      <c r="G441" s="46"/>
      <c r="H441" s="46"/>
      <c r="I441" s="12" t="s">
        <v>3</v>
      </c>
      <c r="J441" s="42">
        <v>0.61499999999999999</v>
      </c>
      <c r="K441" s="78"/>
    </row>
    <row r="442" spans="1:11" s="43" customFormat="1" ht="23.25" customHeight="1" x14ac:dyDescent="0.25">
      <c r="A442" s="104" t="s">
        <v>826</v>
      </c>
      <c r="B442" s="105" t="s">
        <v>827</v>
      </c>
      <c r="C442" s="106">
        <v>12</v>
      </c>
      <c r="D442" s="107">
        <v>1.0489999999999999</v>
      </c>
      <c r="E442" s="107"/>
      <c r="F442" s="108"/>
      <c r="G442" s="108"/>
      <c r="H442" s="108">
        <v>0.99</v>
      </c>
      <c r="I442" s="109" t="s">
        <v>910</v>
      </c>
      <c r="J442" s="110">
        <v>0.99</v>
      </c>
      <c r="K442" s="78"/>
    </row>
    <row r="443" spans="1:11" s="43" customFormat="1" ht="23.25" customHeight="1" x14ac:dyDescent="0.25">
      <c r="A443" s="47" t="s">
        <v>828</v>
      </c>
      <c r="B443" s="48" t="s">
        <v>829</v>
      </c>
      <c r="C443" s="16">
        <v>1</v>
      </c>
      <c r="D443" s="49">
        <v>1.95</v>
      </c>
      <c r="E443" s="49">
        <v>1.226</v>
      </c>
      <c r="F443" s="50"/>
      <c r="G443" s="50"/>
      <c r="H443" s="50">
        <v>1.278</v>
      </c>
      <c r="I443" s="17" t="s">
        <v>913</v>
      </c>
      <c r="J443" s="51">
        <v>1.23</v>
      </c>
      <c r="K443" s="78"/>
    </row>
    <row r="444" spans="1:11" s="43" customFormat="1" ht="23.25" customHeight="1" x14ac:dyDescent="0.25">
      <c r="A444" s="104" t="s">
        <v>830</v>
      </c>
      <c r="B444" s="105" t="s">
        <v>831</v>
      </c>
      <c r="C444" s="106">
        <v>1</v>
      </c>
      <c r="D444" s="115">
        <f>7.5/25</f>
        <v>0.3</v>
      </c>
      <c r="E444" s="115">
        <v>0.30499999999999999</v>
      </c>
      <c r="F444" s="108"/>
      <c r="G444" s="108"/>
      <c r="H444" s="108">
        <v>0.26800000000000002</v>
      </c>
      <c r="I444" s="109" t="s">
        <v>910</v>
      </c>
      <c r="J444" s="110">
        <v>0.27</v>
      </c>
      <c r="K444" s="78"/>
    </row>
    <row r="445" spans="1:11" s="43" customFormat="1" ht="23.25" customHeight="1" x14ac:dyDescent="0.25">
      <c r="A445" s="104" t="s">
        <v>832</v>
      </c>
      <c r="B445" s="105" t="s">
        <v>833</v>
      </c>
      <c r="C445" s="106">
        <v>1</v>
      </c>
      <c r="D445" s="107">
        <v>1.03</v>
      </c>
      <c r="E445" s="107">
        <v>1.121</v>
      </c>
      <c r="F445" s="108">
        <v>1.59</v>
      </c>
      <c r="G445" s="108"/>
      <c r="H445" s="108">
        <v>0.79</v>
      </c>
      <c r="I445" s="109" t="s">
        <v>910</v>
      </c>
      <c r="J445" s="110">
        <v>0.79</v>
      </c>
      <c r="K445" s="78"/>
    </row>
    <row r="446" spans="1:11" s="43" customFormat="1" ht="23.25" customHeight="1" x14ac:dyDescent="0.25">
      <c r="A446" s="47" t="s">
        <v>834</v>
      </c>
      <c r="B446" s="48" t="s">
        <v>835</v>
      </c>
      <c r="C446" s="16">
        <v>500</v>
      </c>
      <c r="D446" s="49">
        <v>5.8120000000000003</v>
      </c>
      <c r="E446" s="49">
        <v>3.46</v>
      </c>
      <c r="F446" s="50"/>
      <c r="G446" s="50"/>
      <c r="H446" s="50"/>
      <c r="I446" s="17" t="s">
        <v>913</v>
      </c>
      <c r="J446" s="51">
        <v>3.46</v>
      </c>
      <c r="K446" s="78"/>
    </row>
    <row r="447" spans="1:11" s="43" customFormat="1" ht="23.25" customHeight="1" x14ac:dyDescent="0.25">
      <c r="A447" s="41" t="s">
        <v>836</v>
      </c>
      <c r="B447" s="44" t="s">
        <v>837</v>
      </c>
      <c r="C447" s="13">
        <v>1</v>
      </c>
      <c r="D447" s="45">
        <v>5.31</v>
      </c>
      <c r="E447" s="45">
        <v>5.7080000000000002</v>
      </c>
      <c r="F447" s="46"/>
      <c r="G447" s="46"/>
      <c r="H447" s="46"/>
      <c r="I447" s="12" t="s">
        <v>3</v>
      </c>
      <c r="J447" s="42">
        <v>5.31</v>
      </c>
      <c r="K447" s="78"/>
    </row>
    <row r="448" spans="1:11" s="43" customFormat="1" ht="23.25" customHeight="1" x14ac:dyDescent="0.25">
      <c r="A448" s="104" t="s">
        <v>838</v>
      </c>
      <c r="B448" s="105" t="s">
        <v>839</v>
      </c>
      <c r="C448" s="106">
        <v>24</v>
      </c>
      <c r="D448" s="107">
        <v>0.49</v>
      </c>
      <c r="E448" s="107"/>
      <c r="F448" s="108"/>
      <c r="G448" s="108"/>
      <c r="H448" s="108">
        <v>0.49</v>
      </c>
      <c r="I448" s="109" t="s">
        <v>910</v>
      </c>
      <c r="J448" s="110">
        <v>0.49</v>
      </c>
      <c r="K448" s="78"/>
    </row>
    <row r="449" spans="1:11" s="43" customFormat="1" ht="23.25" customHeight="1" x14ac:dyDescent="0.25">
      <c r="A449" s="41" t="s">
        <v>840</v>
      </c>
      <c r="B449" s="44" t="s">
        <v>841</v>
      </c>
      <c r="C449" s="13">
        <v>12</v>
      </c>
      <c r="D449" s="45">
        <v>0.85</v>
      </c>
      <c r="E449" s="45"/>
      <c r="F449" s="46"/>
      <c r="G449" s="46"/>
      <c r="H449" s="46">
        <v>1</v>
      </c>
      <c r="I449" s="12" t="s">
        <v>3</v>
      </c>
      <c r="J449" s="42">
        <v>0.85</v>
      </c>
      <c r="K449" s="78"/>
    </row>
    <row r="450" spans="1:11" s="43" customFormat="1" ht="23.25" customHeight="1" x14ac:dyDescent="0.25">
      <c r="A450" s="52" t="s">
        <v>842</v>
      </c>
      <c r="B450" s="53" t="s">
        <v>843</v>
      </c>
      <c r="C450" s="14">
        <v>50</v>
      </c>
      <c r="D450" s="54">
        <v>85</v>
      </c>
      <c r="E450" s="54"/>
      <c r="F450" s="55">
        <v>12.8</v>
      </c>
      <c r="G450" s="55"/>
      <c r="H450" s="55"/>
      <c r="I450" s="15" t="s">
        <v>918</v>
      </c>
      <c r="J450" s="56">
        <v>12.8</v>
      </c>
      <c r="K450" s="78"/>
    </row>
    <row r="451" spans="1:11" s="43" customFormat="1" ht="23.25" customHeight="1" x14ac:dyDescent="0.25">
      <c r="A451"/>
      <c r="B451" s="117" t="s">
        <v>845</v>
      </c>
      <c r="C451" s="3">
        <v>1</v>
      </c>
      <c r="D451" s="4"/>
      <c r="E451" s="4"/>
      <c r="F451" s="5"/>
      <c r="G451" s="135">
        <v>10.58</v>
      </c>
      <c r="H451" s="5"/>
      <c r="I451" s="8" t="s">
        <v>926</v>
      </c>
      <c r="J451" s="1">
        <v>10.58</v>
      </c>
      <c r="K451" s="78"/>
    </row>
    <row r="452" spans="1:11" s="43" customFormat="1" ht="23.25" customHeight="1" x14ac:dyDescent="0.25">
      <c r="A452" s="52"/>
      <c r="B452" s="53" t="s">
        <v>846</v>
      </c>
      <c r="C452" s="14" t="s">
        <v>927</v>
      </c>
      <c r="D452" s="54"/>
      <c r="E452" s="54"/>
      <c r="F452" s="55">
        <v>15.25</v>
      </c>
      <c r="G452" s="55"/>
      <c r="H452" s="55"/>
      <c r="I452" s="15" t="s">
        <v>918</v>
      </c>
      <c r="J452" s="56">
        <v>15.15</v>
      </c>
      <c r="K452" s="78"/>
    </row>
    <row r="453" spans="1:11" s="43" customFormat="1" ht="23.25" customHeight="1" x14ac:dyDescent="0.25">
      <c r="A453" s="47" t="s">
        <v>847</v>
      </c>
      <c r="B453" s="48" t="s">
        <v>848</v>
      </c>
      <c r="C453" s="16">
        <v>500</v>
      </c>
      <c r="D453" s="49"/>
      <c r="E453" s="49">
        <v>16.068999999999999</v>
      </c>
      <c r="F453" s="50">
        <v>23.6</v>
      </c>
      <c r="G453" s="50"/>
      <c r="H453" s="50"/>
      <c r="I453" s="17" t="s">
        <v>913</v>
      </c>
      <c r="J453" s="51">
        <v>17</v>
      </c>
      <c r="K453" s="78"/>
    </row>
    <row r="454" spans="1:11" s="43" customFormat="1" ht="23.25" customHeight="1" x14ac:dyDescent="0.25">
      <c r="A454" s="47" t="s">
        <v>849</v>
      </c>
      <c r="B454" s="48" t="s">
        <v>850</v>
      </c>
      <c r="C454" s="16">
        <v>500</v>
      </c>
      <c r="D454" s="49"/>
      <c r="E454" s="49">
        <v>18.475000000000001</v>
      </c>
      <c r="F454" s="50">
        <v>28</v>
      </c>
      <c r="G454" s="50"/>
      <c r="H454" s="50"/>
      <c r="I454" s="17" t="s">
        <v>913</v>
      </c>
      <c r="J454" s="51">
        <v>18.12</v>
      </c>
      <c r="K454" s="78"/>
    </row>
    <row r="455" spans="1:11" s="43" customFormat="1" ht="23.25" customHeight="1" x14ac:dyDescent="0.25">
      <c r="A455" s="47" t="s">
        <v>851</v>
      </c>
      <c r="B455" s="48" t="s">
        <v>852</v>
      </c>
      <c r="C455" s="16">
        <v>1</v>
      </c>
      <c r="D455" s="49">
        <v>1.81</v>
      </c>
      <c r="E455" s="49">
        <v>1.4670000000000001</v>
      </c>
      <c r="F455" s="50"/>
      <c r="G455" s="50"/>
      <c r="H455" s="50"/>
      <c r="I455" s="17" t="s">
        <v>913</v>
      </c>
      <c r="J455" s="51">
        <v>1.4670000000000001</v>
      </c>
      <c r="K455" s="78"/>
    </row>
    <row r="456" spans="1:11" s="43" customFormat="1" ht="23.25" customHeight="1" x14ac:dyDescent="0.25">
      <c r="A456" s="41" t="s">
        <v>853</v>
      </c>
      <c r="B456" s="44" t="s">
        <v>854</v>
      </c>
      <c r="C456" s="13">
        <v>1</v>
      </c>
      <c r="D456" s="45">
        <v>0.86</v>
      </c>
      <c r="E456" s="45">
        <v>0.88600000000000001</v>
      </c>
      <c r="F456" s="46"/>
      <c r="G456" s="46"/>
      <c r="H456" s="46">
        <v>0.86699999999999999</v>
      </c>
      <c r="I456" s="12" t="s">
        <v>3</v>
      </c>
      <c r="J456" s="42">
        <v>0.86</v>
      </c>
      <c r="K456" s="78"/>
    </row>
    <row r="457" spans="1:11" s="43" customFormat="1" ht="23.25" customHeight="1" x14ac:dyDescent="0.25">
      <c r="A457" s="47"/>
      <c r="B457" s="48" t="s">
        <v>855</v>
      </c>
      <c r="C457" s="16">
        <v>5</v>
      </c>
      <c r="D457" s="49"/>
      <c r="E457" s="49">
        <v>3</v>
      </c>
      <c r="F457" s="50"/>
      <c r="G457" s="50"/>
      <c r="H457" s="50"/>
      <c r="I457" s="17" t="s">
        <v>913</v>
      </c>
      <c r="J457" s="51">
        <v>3</v>
      </c>
      <c r="K457" s="78"/>
    </row>
    <row r="458" spans="1:11" s="43" customFormat="1" ht="23.25" customHeight="1" x14ac:dyDescent="0.25">
      <c r="A458" s="47" t="s">
        <v>856</v>
      </c>
      <c r="B458" s="48" t="s">
        <v>857</v>
      </c>
      <c r="C458" s="16">
        <v>1</v>
      </c>
      <c r="D458" s="49">
        <v>1.22</v>
      </c>
      <c r="E458" s="49">
        <v>1.1060000000000001</v>
      </c>
      <c r="F458" s="50"/>
      <c r="G458" s="50"/>
      <c r="H458" s="50">
        <v>1.2</v>
      </c>
      <c r="I458" s="17" t="s">
        <v>913</v>
      </c>
      <c r="J458" s="51">
        <v>1.1100000000000001</v>
      </c>
      <c r="K458" s="78"/>
    </row>
    <row r="459" spans="1:11" s="43" customFormat="1" ht="23.25" customHeight="1" x14ac:dyDescent="0.25">
      <c r="A459" s="47" t="s">
        <v>858</v>
      </c>
      <c r="B459" s="48" t="s">
        <v>859</v>
      </c>
      <c r="C459" s="16">
        <v>1</v>
      </c>
      <c r="D459" s="49">
        <v>2.2149999999999999</v>
      </c>
      <c r="E459" s="49">
        <v>1.776</v>
      </c>
      <c r="F459" s="50"/>
      <c r="G459" s="50"/>
      <c r="H459" s="50">
        <v>2.5139999999999998</v>
      </c>
      <c r="I459" s="17" t="s">
        <v>913</v>
      </c>
      <c r="J459" s="51">
        <v>1.776</v>
      </c>
      <c r="K459" s="78"/>
    </row>
    <row r="460" spans="1:11" s="43" customFormat="1" ht="23.25" customHeight="1" x14ac:dyDescent="0.25">
      <c r="A460" s="47" t="s">
        <v>860</v>
      </c>
      <c r="B460" s="48" t="s">
        <v>861</v>
      </c>
      <c r="C460" s="16">
        <v>1</v>
      </c>
      <c r="D460" s="49">
        <v>3.6360000000000001</v>
      </c>
      <c r="E460" s="49">
        <v>3.0449999999999999</v>
      </c>
      <c r="F460" s="50">
        <v>3.18</v>
      </c>
      <c r="G460" s="50"/>
      <c r="H460" s="50"/>
      <c r="I460" s="17" t="s">
        <v>913</v>
      </c>
      <c r="J460" s="51">
        <v>3.0449999999999999</v>
      </c>
      <c r="K460" s="78"/>
    </row>
    <row r="461" spans="1:11" s="43" customFormat="1" ht="23.25" customHeight="1" x14ac:dyDescent="0.25">
      <c r="A461" s="104" t="s">
        <v>862</v>
      </c>
      <c r="B461" s="105" t="s">
        <v>1078</v>
      </c>
      <c r="C461" s="106">
        <v>1</v>
      </c>
      <c r="D461" s="107">
        <v>7.2</v>
      </c>
      <c r="E461" s="107">
        <v>7.7610000000000001</v>
      </c>
      <c r="F461" s="108">
        <v>7.05</v>
      </c>
      <c r="G461" s="108"/>
      <c r="H461" s="108">
        <v>6.79</v>
      </c>
      <c r="I461" s="109" t="s">
        <v>910</v>
      </c>
      <c r="J461" s="110">
        <v>6.79</v>
      </c>
      <c r="K461" s="78"/>
    </row>
    <row r="462" spans="1:11" s="43" customFormat="1" ht="23.25" customHeight="1" x14ac:dyDescent="0.25">
      <c r="A462" s="104" t="s">
        <v>865</v>
      </c>
      <c r="B462" s="105" t="s">
        <v>866</v>
      </c>
      <c r="C462" s="106">
        <v>1</v>
      </c>
      <c r="D462" s="107">
        <v>7.79</v>
      </c>
      <c r="E462" s="107">
        <v>7.9240000000000004</v>
      </c>
      <c r="F462" s="108">
        <v>8.2899999999999991</v>
      </c>
      <c r="G462" s="108"/>
      <c r="H462" s="108">
        <v>7.35</v>
      </c>
      <c r="I462" s="109" t="s">
        <v>910</v>
      </c>
      <c r="J462" s="110">
        <v>7.35</v>
      </c>
      <c r="K462" s="78"/>
    </row>
    <row r="463" spans="1:11" s="43" customFormat="1" ht="23.25" customHeight="1" x14ac:dyDescent="0.25">
      <c r="A463" s="104" t="s">
        <v>867</v>
      </c>
      <c r="B463" s="105" t="s">
        <v>868</v>
      </c>
      <c r="C463" s="106">
        <v>1</v>
      </c>
      <c r="D463" s="107">
        <v>4.5199999999999996</v>
      </c>
      <c r="E463" s="107">
        <v>4.3689999999999998</v>
      </c>
      <c r="F463" s="108"/>
      <c r="G463" s="108"/>
      <c r="H463" s="108">
        <v>3.875</v>
      </c>
      <c r="I463" s="109" t="s">
        <v>910</v>
      </c>
      <c r="J463" s="110">
        <v>3.88</v>
      </c>
    </row>
    <row r="464" spans="1:11" ht="23.25" customHeight="1" x14ac:dyDescent="0.25">
      <c r="A464" s="57" t="s">
        <v>869</v>
      </c>
      <c r="B464" s="58" t="s">
        <v>870</v>
      </c>
      <c r="C464" s="20">
        <v>1</v>
      </c>
      <c r="D464" s="59"/>
      <c r="E464" s="59"/>
      <c r="F464" s="60"/>
      <c r="G464" s="60">
        <v>2.25</v>
      </c>
      <c r="H464" s="60"/>
      <c r="I464" s="19" t="s">
        <v>916</v>
      </c>
      <c r="J464" s="61">
        <v>2.25</v>
      </c>
    </row>
    <row r="465" spans="1:10" s="43" customFormat="1" ht="23.25" customHeight="1" x14ac:dyDescent="0.25">
      <c r="A465" s="104" t="s">
        <v>871</v>
      </c>
      <c r="B465" s="105" t="s">
        <v>872</v>
      </c>
      <c r="C465" s="106">
        <v>1</v>
      </c>
      <c r="D465" s="107">
        <v>7.96</v>
      </c>
      <c r="E465" s="107">
        <v>10.201000000000001</v>
      </c>
      <c r="F465" s="108"/>
      <c r="G465" s="108"/>
      <c r="H465" s="108">
        <v>6.99</v>
      </c>
      <c r="I465" s="109" t="s">
        <v>910</v>
      </c>
      <c r="J465" s="110">
        <v>6.99</v>
      </c>
    </row>
    <row r="466" spans="1:10" s="43" customFormat="1" ht="23.25" customHeight="1" x14ac:dyDescent="0.25">
      <c r="A466" s="41" t="s">
        <v>873</v>
      </c>
      <c r="B466" s="44" t="s">
        <v>874</v>
      </c>
      <c r="C466" s="13">
        <v>1</v>
      </c>
      <c r="D466" s="45">
        <v>2.1539999999999999</v>
      </c>
      <c r="E466" s="45"/>
      <c r="F466" s="46"/>
      <c r="G466" s="46"/>
      <c r="H466" s="46"/>
      <c r="I466" s="12" t="s">
        <v>3</v>
      </c>
      <c r="J466" s="42">
        <v>2.1539999999999999</v>
      </c>
    </row>
    <row r="467" spans="1:10" s="43" customFormat="1" ht="23.25" customHeight="1" x14ac:dyDescent="0.25">
      <c r="A467" s="104" t="s">
        <v>875</v>
      </c>
      <c r="B467" s="105" t="s">
        <v>876</v>
      </c>
      <c r="C467" s="106">
        <v>1</v>
      </c>
      <c r="D467" s="107">
        <v>3.4929999999999999</v>
      </c>
      <c r="E467" s="107">
        <v>3.0169999999999999</v>
      </c>
      <c r="F467" s="108">
        <v>3.9</v>
      </c>
      <c r="G467" s="108"/>
      <c r="H467" s="108">
        <v>2.65</v>
      </c>
      <c r="I467" s="109" t="s">
        <v>910</v>
      </c>
      <c r="J467" s="110">
        <v>2.65</v>
      </c>
    </row>
    <row r="468" spans="1:10" s="43" customFormat="1" ht="23.25" customHeight="1" x14ac:dyDescent="0.25">
      <c r="A468" s="104" t="s">
        <v>877</v>
      </c>
      <c r="B468" s="105" t="s">
        <v>878</v>
      </c>
      <c r="C468" s="106">
        <v>1</v>
      </c>
      <c r="D468" s="107">
        <v>3</v>
      </c>
      <c r="E468" s="107">
        <v>3.23</v>
      </c>
      <c r="F468" s="108"/>
      <c r="G468" s="108"/>
      <c r="H468" s="108">
        <v>2.65</v>
      </c>
      <c r="I468" s="109" t="s">
        <v>910</v>
      </c>
      <c r="J468" s="110">
        <v>2.65</v>
      </c>
    </row>
    <row r="469" spans="1:10" s="43" customFormat="1" ht="23.25" customHeight="1" x14ac:dyDescent="0.25">
      <c r="A469" s="57" t="s">
        <v>879</v>
      </c>
      <c r="B469" s="58" t="s">
        <v>880</v>
      </c>
      <c r="C469" s="20">
        <v>1</v>
      </c>
      <c r="D469" s="59"/>
      <c r="E469" s="59"/>
      <c r="F469" s="60"/>
      <c r="G469" s="60">
        <v>2.25</v>
      </c>
      <c r="H469" s="60"/>
      <c r="I469" s="19" t="s">
        <v>916</v>
      </c>
      <c r="J469" s="61">
        <v>2.25</v>
      </c>
    </row>
    <row r="470" spans="1:10" s="43" customFormat="1" ht="23.25" customHeight="1" x14ac:dyDescent="0.25">
      <c r="A470" s="47" t="s">
        <v>881</v>
      </c>
      <c r="B470" s="48" t="s">
        <v>882</v>
      </c>
      <c r="C470" s="16">
        <v>1</v>
      </c>
      <c r="D470" s="49"/>
      <c r="E470" s="49">
        <v>7.5670000000000002</v>
      </c>
      <c r="F470" s="50">
        <v>7.65</v>
      </c>
      <c r="G470" s="50"/>
      <c r="H470" s="50">
        <v>7.57</v>
      </c>
      <c r="I470" s="17" t="s">
        <v>913</v>
      </c>
      <c r="J470" s="51">
        <v>7.57</v>
      </c>
    </row>
    <row r="471" spans="1:10" s="43" customFormat="1" ht="23.25" customHeight="1" x14ac:dyDescent="0.25">
      <c r="A471" s="63" t="s">
        <v>317</v>
      </c>
      <c r="B471" s="64" t="s">
        <v>883</v>
      </c>
      <c r="C471" s="23">
        <v>10</v>
      </c>
      <c r="D471" s="65"/>
      <c r="E471" s="65"/>
      <c r="F471" s="66"/>
      <c r="G471" s="66">
        <v>4.49</v>
      </c>
      <c r="H471" s="66"/>
      <c r="I471" s="22" t="s">
        <v>921</v>
      </c>
      <c r="J471" s="67">
        <v>4.49</v>
      </c>
    </row>
    <row r="472" spans="1:10" s="43" customFormat="1" ht="23.25" customHeight="1" x14ac:dyDescent="0.25">
      <c r="A472" s="104" t="s">
        <v>884</v>
      </c>
      <c r="B472" s="105" t="s">
        <v>885</v>
      </c>
      <c r="C472" s="106">
        <v>15</v>
      </c>
      <c r="D472" s="107">
        <v>5.6</v>
      </c>
      <c r="E472" s="107">
        <v>4.7480000000000002</v>
      </c>
      <c r="F472" s="108">
        <v>5.09</v>
      </c>
      <c r="G472" s="108"/>
      <c r="H472" s="108">
        <v>3.83</v>
      </c>
      <c r="I472" s="109" t="s">
        <v>910</v>
      </c>
      <c r="J472" s="110">
        <v>3.83</v>
      </c>
    </row>
    <row r="473" spans="1:10" ht="23.25" customHeight="1" x14ac:dyDescent="0.25">
      <c r="A473" s="52" t="s">
        <v>886</v>
      </c>
      <c r="B473" s="53" t="s">
        <v>887</v>
      </c>
      <c r="C473" s="14">
        <v>1</v>
      </c>
      <c r="D473" s="54"/>
      <c r="E473" s="54">
        <v>11.11</v>
      </c>
      <c r="F473" s="55">
        <v>10.79</v>
      </c>
      <c r="G473" s="55"/>
      <c r="H473" s="55"/>
      <c r="I473" s="15" t="s">
        <v>918</v>
      </c>
      <c r="J473" s="56">
        <v>10.79</v>
      </c>
    </row>
    <row r="474" spans="1:10" ht="23.25" customHeight="1" x14ac:dyDescent="0.25">
      <c r="A474" s="41" t="s">
        <v>888</v>
      </c>
      <c r="B474" s="44" t="s">
        <v>889</v>
      </c>
      <c r="C474" s="13">
        <v>1</v>
      </c>
      <c r="D474" s="45">
        <v>1.74</v>
      </c>
      <c r="E474" s="45">
        <v>1.86</v>
      </c>
      <c r="F474" s="46"/>
      <c r="G474" s="46"/>
      <c r="H474" s="46">
        <v>1.8759999999999999</v>
      </c>
      <c r="I474" s="12" t="s">
        <v>3</v>
      </c>
      <c r="J474" s="42">
        <v>1.74</v>
      </c>
    </row>
    <row r="475" spans="1:10" ht="23.25" customHeight="1" x14ac:dyDescent="0.25">
      <c r="A475" s="104" t="s">
        <v>890</v>
      </c>
      <c r="B475" s="105" t="s">
        <v>891</v>
      </c>
      <c r="C475" s="106">
        <v>24</v>
      </c>
      <c r="D475" s="107">
        <v>15.53</v>
      </c>
      <c r="E475" s="107">
        <f>+D475/C475</f>
        <v>0.64708333333333334</v>
      </c>
      <c r="F475" s="108"/>
      <c r="G475" s="108"/>
      <c r="H475" s="108">
        <v>0.57499999999999996</v>
      </c>
      <c r="I475" s="109" t="s">
        <v>910</v>
      </c>
      <c r="J475" s="110">
        <v>0.57999999999999996</v>
      </c>
    </row>
    <row r="476" spans="1:10" ht="23.25" customHeight="1" x14ac:dyDescent="0.25">
      <c r="A476" s="41" t="s">
        <v>892</v>
      </c>
      <c r="B476" s="44" t="s">
        <v>893</v>
      </c>
      <c r="C476" s="13">
        <v>1</v>
      </c>
      <c r="D476" s="45">
        <f>24.626/0.15</f>
        <v>164.17333333333335</v>
      </c>
      <c r="E476" s="45"/>
      <c r="F476" s="46"/>
      <c r="G476" s="46"/>
      <c r="H476" s="46"/>
      <c r="I476" s="12" t="s">
        <v>3</v>
      </c>
      <c r="J476" s="42">
        <v>164.17</v>
      </c>
    </row>
    <row r="477" spans="1:10" s="43" customFormat="1" ht="23.25" customHeight="1" x14ac:dyDescent="0.25">
      <c r="A477" s="52"/>
      <c r="B477" s="53" t="s">
        <v>894</v>
      </c>
      <c r="C477" s="14">
        <v>1</v>
      </c>
      <c r="D477" s="54"/>
      <c r="E477" s="54"/>
      <c r="F477" s="55">
        <v>9</v>
      </c>
      <c r="G477" s="55"/>
      <c r="H477" s="55"/>
      <c r="I477" s="15" t="s">
        <v>918</v>
      </c>
      <c r="J477" s="56">
        <v>8.6</v>
      </c>
    </row>
    <row r="478" spans="1:10" ht="23.25" customHeight="1" x14ac:dyDescent="0.25">
      <c r="A478" s="41" t="s">
        <v>895</v>
      </c>
      <c r="B478" s="44" t="s">
        <v>896</v>
      </c>
      <c r="C478" s="13">
        <v>1</v>
      </c>
      <c r="D478" s="45">
        <v>0.69</v>
      </c>
      <c r="E478" s="45">
        <v>0.76300000000000001</v>
      </c>
      <c r="F478" s="46">
        <v>1.31</v>
      </c>
      <c r="G478" s="46"/>
      <c r="H478" s="46"/>
      <c r="I478" s="12" t="s">
        <v>3</v>
      </c>
      <c r="J478" s="42">
        <v>0.69</v>
      </c>
    </row>
    <row r="479" spans="1:10" ht="23.25" customHeight="1" x14ac:dyDescent="0.25">
      <c r="A479" s="52" t="s">
        <v>897</v>
      </c>
      <c r="B479" s="53" t="s">
        <v>898</v>
      </c>
      <c r="C479" s="14">
        <v>1</v>
      </c>
      <c r="D479" s="54">
        <v>2.29</v>
      </c>
      <c r="E479" s="54"/>
      <c r="F479" s="55">
        <f>+(1.64/0.75)</f>
        <v>2.1866666666666665</v>
      </c>
      <c r="G479" s="55"/>
      <c r="H479" s="55"/>
      <c r="I479" s="15" t="s">
        <v>918</v>
      </c>
      <c r="J479" s="56">
        <v>2.19</v>
      </c>
    </row>
    <row r="480" spans="1:10" ht="23.25" customHeight="1" x14ac:dyDescent="0.25">
      <c r="A480" s="52" t="s">
        <v>899</v>
      </c>
      <c r="B480" s="53" t="s">
        <v>900</v>
      </c>
      <c r="C480" s="14">
        <v>1</v>
      </c>
      <c r="D480" s="54">
        <v>16.5</v>
      </c>
      <c r="E480" s="54"/>
      <c r="F480" s="55">
        <v>4.4000000000000004</v>
      </c>
      <c r="G480" s="55"/>
      <c r="H480" s="55"/>
      <c r="I480" s="15" t="s">
        <v>918</v>
      </c>
      <c r="J480" s="56">
        <v>4.4000000000000004</v>
      </c>
    </row>
    <row r="481" spans="1:10" ht="23.25" customHeight="1" x14ac:dyDescent="0.25">
      <c r="A481" s="41" t="s">
        <v>901</v>
      </c>
      <c r="B481" s="44" t="s">
        <v>902</v>
      </c>
      <c r="C481" s="13">
        <v>24</v>
      </c>
      <c r="D481" s="45">
        <v>0.7</v>
      </c>
      <c r="E481" s="45"/>
      <c r="F481" s="46"/>
      <c r="G481" s="46"/>
      <c r="H481" s="46"/>
      <c r="I481" s="12" t="s">
        <v>3</v>
      </c>
      <c r="J481" s="42">
        <v>0.7</v>
      </c>
    </row>
    <row r="482" spans="1:10" ht="23.25" customHeight="1" x14ac:dyDescent="0.25">
      <c r="A482" s="52"/>
      <c r="B482" s="53" t="s">
        <v>903</v>
      </c>
      <c r="C482" s="14">
        <v>1</v>
      </c>
      <c r="D482" s="54"/>
      <c r="E482" s="54"/>
      <c r="F482" s="55">
        <v>6.45</v>
      </c>
      <c r="G482" s="55"/>
      <c r="H482" s="55"/>
      <c r="I482" s="15" t="s">
        <v>918</v>
      </c>
      <c r="J482" s="56">
        <v>6.45</v>
      </c>
    </row>
    <row r="483" spans="1:10" ht="23.25" customHeight="1" x14ac:dyDescent="0.25">
      <c r="A483" s="104" t="s">
        <v>904</v>
      </c>
      <c r="B483" s="105" t="s">
        <v>905</v>
      </c>
      <c r="C483" s="106">
        <v>1</v>
      </c>
      <c r="D483" s="107">
        <v>11.262</v>
      </c>
      <c r="E483" s="107">
        <f>4.81*2</f>
        <v>9.6199999999999992</v>
      </c>
      <c r="F483" s="108"/>
      <c r="G483" s="108"/>
      <c r="H483" s="108">
        <v>9.09</v>
      </c>
      <c r="I483" s="109" t="s">
        <v>910</v>
      </c>
      <c r="J483" s="110">
        <v>9.09</v>
      </c>
    </row>
    <row r="484" spans="1:10" ht="23.25" customHeight="1" x14ac:dyDescent="0.25"/>
    <row r="485" spans="1:10" ht="23.25" customHeight="1" x14ac:dyDescent="0.25"/>
    <row r="486" spans="1:10" ht="23.25" customHeight="1" x14ac:dyDescent="0.25"/>
  </sheetData>
  <autoFilter ref="A2:J483" xr:uid="{8E7E2006-4792-C14F-8AEB-8DAA515E889C}">
    <sortState xmlns:xlrd2="http://schemas.microsoft.com/office/spreadsheetml/2017/richdata2" ref="A3:J483">
      <sortCondition ref="B2:B483"/>
    </sortState>
  </autoFilter>
  <phoneticPr fontId="7" type="noConversion"/>
  <pageMargins left="0.23622047244094491" right="0.23622047244094491" top="0.74803149606299213" bottom="0.74803149606299213" header="0.31496062992125984" footer="0.31496062992125984"/>
  <pageSetup paperSize="9" scale="67" fitToHeight="0" orientation="portrait" horizontalDpi="1200" verticalDpi="1200" r:id="rId1"/>
  <headerFooter>
    <oddFooter>&amp;C&amp;P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8601-1076-46B8-8B82-0EB49EA6333E}">
  <sheetPr codeName="Feuil4">
    <tabColor theme="5" tint="0.59999389629810485"/>
  </sheetPr>
  <dimension ref="A1:P67"/>
  <sheetViews>
    <sheetView zoomScale="80" zoomScaleNormal="80" workbookViewId="0">
      <selection activeCell="H22" sqref="H22"/>
    </sheetView>
  </sheetViews>
  <sheetFormatPr baseColWidth="10" defaultColWidth="10.7109375" defaultRowHeight="15" x14ac:dyDescent="0.25"/>
  <cols>
    <col min="1" max="1" width="33.7109375" customWidth="1"/>
    <col min="4" max="4" width="11.42578125" customWidth="1"/>
    <col min="5" max="5" width="33.7109375" customWidth="1"/>
    <col min="9" max="9" width="33.7109375" customWidth="1"/>
    <col min="13" max="13" width="33.7109375" customWidth="1"/>
  </cols>
  <sheetData>
    <row r="1" spans="1:16" ht="15.75" thickBot="1" x14ac:dyDescent="0.3">
      <c r="A1" s="39" t="s">
        <v>928</v>
      </c>
      <c r="B1" s="40">
        <v>4</v>
      </c>
    </row>
    <row r="2" spans="1:16" ht="22.5" customHeight="1" thickBot="1" x14ac:dyDescent="0.3">
      <c r="A2" s="174" t="s">
        <v>929</v>
      </c>
      <c r="B2" s="175"/>
      <c r="C2" s="175"/>
      <c r="D2" s="176"/>
      <c r="E2" s="174" t="s">
        <v>930</v>
      </c>
      <c r="F2" s="175"/>
      <c r="G2" s="175"/>
      <c r="H2" s="176"/>
      <c r="I2" s="174" t="s">
        <v>931</v>
      </c>
      <c r="J2" s="175"/>
      <c r="K2" s="175"/>
      <c r="L2" s="176"/>
      <c r="M2" s="174" t="s">
        <v>932</v>
      </c>
      <c r="N2" s="175"/>
      <c r="O2" s="175"/>
      <c r="P2" s="176"/>
    </row>
    <row r="3" spans="1:16" x14ac:dyDescent="0.25">
      <c r="A3" s="37"/>
      <c r="B3" s="6" t="s">
        <v>933</v>
      </c>
      <c r="C3" s="6" t="s">
        <v>934</v>
      </c>
      <c r="D3" s="38"/>
      <c r="E3" s="37"/>
      <c r="F3" s="6" t="s">
        <v>933</v>
      </c>
      <c r="G3" s="6" t="s">
        <v>934</v>
      </c>
      <c r="H3" s="38"/>
      <c r="I3" s="37"/>
      <c r="J3" s="6" t="s">
        <v>933</v>
      </c>
      <c r="K3" s="6" t="s">
        <v>934</v>
      </c>
      <c r="L3" s="38"/>
      <c r="M3" s="37"/>
      <c r="N3" s="6" t="s">
        <v>933</v>
      </c>
      <c r="O3" s="6" t="s">
        <v>934</v>
      </c>
      <c r="P3" s="38"/>
    </row>
    <row r="4" spans="1:16" x14ac:dyDescent="0.25">
      <c r="A4" s="33" t="s">
        <v>318</v>
      </c>
      <c r="B4" s="32">
        <f>IFERROR(VLOOKUP(A4,'TARIFS 12 2025'!B3:J461,9,FALSE),"")</f>
        <v>1.05</v>
      </c>
      <c r="C4" s="36">
        <v>2</v>
      </c>
      <c r="D4" s="34">
        <f>+C4*B4</f>
        <v>2.1</v>
      </c>
      <c r="E4" s="33" t="s">
        <v>318</v>
      </c>
      <c r="F4" s="32">
        <f>IFERROR(VLOOKUP(E4,'TARIFS 12 2025'!B3:J466,9,FALSE),"")</f>
        <v>1.05</v>
      </c>
      <c r="G4" s="36">
        <v>2</v>
      </c>
      <c r="H4" s="34">
        <f>+G4*F4</f>
        <v>2.1</v>
      </c>
      <c r="I4" s="33" t="s">
        <v>318</v>
      </c>
      <c r="J4" s="32">
        <f>IFERROR(VLOOKUP(I4,'TARIFS 12 2025'!B3:J502,9,FALSE),"")</f>
        <v>1.05</v>
      </c>
      <c r="K4" s="36">
        <v>1</v>
      </c>
      <c r="L4" s="34">
        <f>+K4*J4</f>
        <v>1.05</v>
      </c>
      <c r="M4" s="33" t="s">
        <v>318</v>
      </c>
      <c r="N4" s="32">
        <f>IFERROR(VLOOKUP(M4,'TARIFS 12 2025'!B3:J510,9,FALSE),"")</f>
        <v>1.05</v>
      </c>
      <c r="O4" s="36">
        <v>1</v>
      </c>
      <c r="P4" s="34">
        <f>+O4*N4</f>
        <v>1.05</v>
      </c>
    </row>
    <row r="5" spans="1:16" x14ac:dyDescent="0.25">
      <c r="A5" s="33" t="s">
        <v>854</v>
      </c>
      <c r="B5" s="32">
        <f>IFERROR(VLOOKUP(A5,'TARIFS 12 2025'!B4:J461,9,FALSE),"")</f>
        <v>0.86</v>
      </c>
      <c r="C5" s="36">
        <v>0.22</v>
      </c>
      <c r="D5" s="34">
        <f t="shared" ref="D5:D14" si="0">+C5*B5</f>
        <v>0.18920000000000001</v>
      </c>
      <c r="E5" s="33" t="s">
        <v>854</v>
      </c>
      <c r="F5" s="32">
        <f>IFERROR(VLOOKUP(E5,'TARIFS 12 2025'!B4:J469,9,FALSE),"")</f>
        <v>0.86</v>
      </c>
      <c r="G5" s="36">
        <v>0.22</v>
      </c>
      <c r="H5" s="34">
        <f t="shared" ref="H5:H15" si="1">+G5*F5</f>
        <v>0.18920000000000001</v>
      </c>
      <c r="I5" s="33" t="s">
        <v>831</v>
      </c>
      <c r="J5" s="32">
        <f>IFERROR(VLOOKUP(I5,'TARIFS 12 2025'!B4:J503,9,FALSE),"")</f>
        <v>0.27</v>
      </c>
      <c r="K5" s="36">
        <v>0.02</v>
      </c>
      <c r="L5" s="34">
        <f t="shared" ref="L5:L13" si="2">+K5*J5</f>
        <v>5.4000000000000003E-3</v>
      </c>
      <c r="M5" s="33" t="s">
        <v>831</v>
      </c>
      <c r="N5" s="32">
        <f>IFERROR(VLOOKUP(M5,'TARIFS 12 2025'!B4:J511,9,FALSE),"")</f>
        <v>0.27</v>
      </c>
      <c r="O5" s="36">
        <v>0.02</v>
      </c>
      <c r="P5" s="34">
        <f t="shared" ref="P5:P14" si="3">+O5*N5</f>
        <v>5.4000000000000003E-3</v>
      </c>
    </row>
    <row r="6" spans="1:16" x14ac:dyDescent="0.25">
      <c r="A6" s="33" t="s">
        <v>831</v>
      </c>
      <c r="B6" s="32">
        <f>IFERROR(VLOOKUP(A6,'TARIFS 12 2025'!B5:J462,9,FALSE),"")</f>
        <v>0.27</v>
      </c>
      <c r="C6" s="36">
        <v>0.04</v>
      </c>
      <c r="D6" s="34">
        <f t="shared" si="0"/>
        <v>1.0800000000000001E-2</v>
      </c>
      <c r="E6" s="33" t="s">
        <v>831</v>
      </c>
      <c r="F6" s="32">
        <f>IFERROR(VLOOKUP(E6,'TARIFS 12 2025'!B5:J470,9,FALSE),"")</f>
        <v>0.27</v>
      </c>
      <c r="G6" s="36">
        <v>0.04</v>
      </c>
      <c r="H6" s="34">
        <f t="shared" si="1"/>
        <v>1.0800000000000001E-2</v>
      </c>
      <c r="I6" s="33" t="s">
        <v>436</v>
      </c>
      <c r="J6" s="32">
        <f>IFERROR(VLOOKUP(I6,'TARIFS 12 2025'!B5:J504,9,FALSE),"")</f>
        <v>3.45</v>
      </c>
      <c r="K6" s="36">
        <v>0.04</v>
      </c>
      <c r="L6" s="34">
        <f t="shared" si="2"/>
        <v>0.13800000000000001</v>
      </c>
      <c r="M6" s="33" t="s">
        <v>436</v>
      </c>
      <c r="N6" s="32">
        <f>IFERROR(VLOOKUP(M6,'TARIFS 12 2025'!B5:J512,9,FALSE),"")</f>
        <v>3.45</v>
      </c>
      <c r="O6" s="36">
        <v>0.04</v>
      </c>
      <c r="P6" s="34">
        <f t="shared" si="3"/>
        <v>0.13800000000000001</v>
      </c>
    </row>
    <row r="7" spans="1:16" x14ac:dyDescent="0.25">
      <c r="A7" s="33" t="s">
        <v>883</v>
      </c>
      <c r="B7" s="32" t="str">
        <f>IFERROR(VLOOKUP(A7,'TARIFS 12 2025'!B6:J463,9,FALSE),"")</f>
        <v/>
      </c>
      <c r="C7" s="36">
        <v>1.6E-2</v>
      </c>
      <c r="D7" s="34">
        <f>4.49*C7</f>
        <v>7.1840000000000001E-2</v>
      </c>
      <c r="E7" s="33" t="s">
        <v>883</v>
      </c>
      <c r="F7" s="32">
        <f>IFERROR(VLOOKUP(E7,'TARIFS 12 2025'!B6:J471,9,FALSE),"")</f>
        <v>4.49</v>
      </c>
      <c r="G7" s="36">
        <v>1.6E-2</v>
      </c>
      <c r="H7" s="34">
        <f t="shared" si="1"/>
        <v>7.1840000000000001E-2</v>
      </c>
      <c r="I7" s="33" t="s">
        <v>453</v>
      </c>
      <c r="J7" s="32">
        <f>IFERROR(VLOOKUP(I7,'TARIFS 12 2025'!B6:J505,9,FALSE),"")</f>
        <v>3.99</v>
      </c>
      <c r="K7" s="36">
        <v>0.08</v>
      </c>
      <c r="L7" s="34">
        <f t="shared" si="2"/>
        <v>0.31920000000000004</v>
      </c>
      <c r="M7" s="33" t="s">
        <v>453</v>
      </c>
      <c r="N7" s="32">
        <f>IFERROR(VLOOKUP(M7,'TARIFS 12 2025'!B6:J513,9,FALSE),"")</f>
        <v>3.99</v>
      </c>
      <c r="O7" s="36">
        <v>0.08</v>
      </c>
      <c r="P7" s="34">
        <f t="shared" si="3"/>
        <v>0.31920000000000004</v>
      </c>
    </row>
    <row r="8" spans="1:16" x14ac:dyDescent="0.25">
      <c r="A8" s="33" t="s">
        <v>436</v>
      </c>
      <c r="B8" s="32">
        <f>IFERROR(VLOOKUP(A8,'TARIFS 12 2025'!B7:J463,9,FALSE),"")</f>
        <v>3.45</v>
      </c>
      <c r="C8" s="36">
        <v>0.08</v>
      </c>
      <c r="D8" s="34">
        <f t="shared" si="0"/>
        <v>0.27600000000000002</v>
      </c>
      <c r="E8" s="33" t="s">
        <v>436</v>
      </c>
      <c r="F8" s="32">
        <f>IFERROR(VLOOKUP(E8,'TARIFS 12 2025'!B7:J472,9,FALSE),"")</f>
        <v>3.45</v>
      </c>
      <c r="G8" s="36">
        <v>0.08</v>
      </c>
      <c r="H8" s="34">
        <f t="shared" si="1"/>
        <v>0.27600000000000002</v>
      </c>
      <c r="I8" s="33" t="s">
        <v>498</v>
      </c>
      <c r="J8" s="32">
        <f>IFERROR(VLOOKUP(I8,'TARIFS 12 2025'!B7:J506,9,FALSE),"")</f>
        <v>2.72</v>
      </c>
      <c r="K8" s="36">
        <v>0.4</v>
      </c>
      <c r="L8" s="34">
        <f t="shared" si="2"/>
        <v>1.0880000000000001</v>
      </c>
      <c r="M8" s="33" t="s">
        <v>498</v>
      </c>
      <c r="N8" s="32">
        <f>IFERROR(VLOOKUP(M8,'TARIFS 12 2025'!B7:J514,9,FALSE),"")</f>
        <v>2.72</v>
      </c>
      <c r="O8" s="36">
        <v>0.4</v>
      </c>
      <c r="P8" s="34">
        <f t="shared" si="3"/>
        <v>1.0880000000000001</v>
      </c>
    </row>
    <row r="9" spans="1:16" x14ac:dyDescent="0.25">
      <c r="A9" s="33" t="s">
        <v>73</v>
      </c>
      <c r="B9" s="32">
        <v>9.5</v>
      </c>
      <c r="C9" s="36">
        <v>1</v>
      </c>
      <c r="D9" s="34">
        <f t="shared" si="0"/>
        <v>9.5</v>
      </c>
      <c r="E9" s="33" t="s">
        <v>73</v>
      </c>
      <c r="F9" s="32">
        <v>9.5</v>
      </c>
      <c r="G9" s="36">
        <v>1</v>
      </c>
      <c r="H9" s="34">
        <f t="shared" si="1"/>
        <v>9.5</v>
      </c>
      <c r="I9" s="33" t="s">
        <v>883</v>
      </c>
      <c r="J9" s="32">
        <f>IFERROR(VLOOKUP(I9,'TARIFS 12 2025'!B8:J507,9,FALSE),"")</f>
        <v>4.49</v>
      </c>
      <c r="K9" s="36">
        <v>0.05</v>
      </c>
      <c r="L9" s="34">
        <f t="shared" si="2"/>
        <v>0.22450000000000003</v>
      </c>
      <c r="M9" s="33" t="s">
        <v>883</v>
      </c>
      <c r="N9" s="32">
        <f>IFERROR(VLOOKUP(M9,'TARIFS 12 2025'!B8:J515,9,FALSE),"")</f>
        <v>4.49</v>
      </c>
      <c r="O9" s="36">
        <v>0.05</v>
      </c>
      <c r="P9" s="34">
        <f t="shared" si="3"/>
        <v>0.22450000000000003</v>
      </c>
    </row>
    <row r="10" spans="1:16" x14ac:dyDescent="0.25">
      <c r="A10" s="33" t="s">
        <v>69</v>
      </c>
      <c r="B10" s="32">
        <f>IFERROR(VLOOKUP(A10,'TARIFS 12 2025'!B9:J465,9,FALSE),"")</f>
        <v>4.8</v>
      </c>
      <c r="C10" s="36">
        <v>0.16</v>
      </c>
      <c r="D10" s="34">
        <f t="shared" si="0"/>
        <v>0.76800000000000002</v>
      </c>
      <c r="E10" s="33" t="s">
        <v>69</v>
      </c>
      <c r="F10" s="32">
        <f>IFERROR(VLOOKUP(E10,'TARIFS 12 2025'!B9:J474,9,FALSE),"")</f>
        <v>4.8</v>
      </c>
      <c r="G10" s="36">
        <v>0.16</v>
      </c>
      <c r="H10" s="34">
        <f t="shared" si="1"/>
        <v>0.76800000000000002</v>
      </c>
      <c r="I10" s="33" t="s">
        <v>549</v>
      </c>
      <c r="J10" s="32">
        <f>IFERROR(VLOOKUP(I10,'TARIFS 12 2025'!B9:J508,9,FALSE),"")</f>
        <v>0.47273529411764703</v>
      </c>
      <c r="K10" s="36">
        <v>0.3</v>
      </c>
      <c r="L10" s="34">
        <f t="shared" si="2"/>
        <v>0.14182058823529411</v>
      </c>
      <c r="M10" s="33" t="s">
        <v>549</v>
      </c>
      <c r="N10" s="32">
        <f>IFERROR(VLOOKUP(M10,'TARIFS 12 2025'!B9:J516,9,FALSE),"")</f>
        <v>0.47273529411764703</v>
      </c>
      <c r="O10" s="36">
        <v>0.3</v>
      </c>
      <c r="P10" s="34">
        <f t="shared" si="3"/>
        <v>0.14182058823529411</v>
      </c>
    </row>
    <row r="11" spans="1:16" x14ac:dyDescent="0.25">
      <c r="A11" s="33" t="s">
        <v>272</v>
      </c>
      <c r="B11" s="32">
        <f>IFERROR(VLOOKUP(A11,'TARIFS 12 2025'!B10:J466,9,FALSE),"")</f>
        <v>4.0000000000000001E-3</v>
      </c>
      <c r="C11" s="36">
        <v>0.8</v>
      </c>
      <c r="D11" s="34">
        <f t="shared" si="0"/>
        <v>3.2000000000000002E-3</v>
      </c>
      <c r="E11" s="33" t="s">
        <v>272</v>
      </c>
      <c r="F11" s="32">
        <f>IFERROR(VLOOKUP(E11,'TARIFS 12 2025'!B10:J475,9,FALSE),"")</f>
        <v>4.0000000000000001E-3</v>
      </c>
      <c r="G11" s="36">
        <v>0.8</v>
      </c>
      <c r="H11" s="34">
        <f t="shared" si="1"/>
        <v>3.2000000000000002E-3</v>
      </c>
      <c r="I11" s="33" t="s">
        <v>854</v>
      </c>
      <c r="J11" s="32">
        <f>IFERROR(VLOOKUP(I11,'TARIFS 12 2025'!B10:J509,9,FALSE),"")</f>
        <v>0.86</v>
      </c>
      <c r="K11" s="36">
        <v>0.2</v>
      </c>
      <c r="L11" s="34">
        <f t="shared" si="2"/>
        <v>0.17200000000000001</v>
      </c>
      <c r="M11" s="33" t="s">
        <v>854</v>
      </c>
      <c r="N11" s="32">
        <f>IFERROR(VLOOKUP(M11,'TARIFS 12 2025'!B10:J517,9,FALSE),"")</f>
        <v>0.86</v>
      </c>
      <c r="O11" s="36">
        <v>0.2</v>
      </c>
      <c r="P11" s="34">
        <f t="shared" si="3"/>
        <v>0.17200000000000001</v>
      </c>
    </row>
    <row r="12" spans="1:16" x14ac:dyDescent="0.25">
      <c r="A12" s="33" t="s">
        <v>453</v>
      </c>
      <c r="B12" s="32">
        <f>IFERROR(VLOOKUP(A12,'TARIFS 12 2025'!B11:J469,9,FALSE),"")</f>
        <v>3.99</v>
      </c>
      <c r="C12" s="36">
        <v>0.06</v>
      </c>
      <c r="D12" s="34">
        <f t="shared" si="0"/>
        <v>0.2394</v>
      </c>
      <c r="E12" s="33" t="s">
        <v>453</v>
      </c>
      <c r="F12" s="32">
        <f>IFERROR(VLOOKUP(E12,'TARIFS 12 2025'!B11:J476,9,FALSE),"")</f>
        <v>3.99</v>
      </c>
      <c r="G12" s="36">
        <v>0.06</v>
      </c>
      <c r="H12" s="34">
        <f t="shared" si="1"/>
        <v>0.2394</v>
      </c>
      <c r="I12" s="33" t="s">
        <v>69</v>
      </c>
      <c r="J12" s="32">
        <f>IFERROR(VLOOKUP(I12,'TARIFS 12 2025'!B11:J510,9,FALSE),"")</f>
        <v>4.8</v>
      </c>
      <c r="K12" s="36">
        <v>0.35</v>
      </c>
      <c r="L12" s="34">
        <f t="shared" si="2"/>
        <v>1.68</v>
      </c>
      <c r="M12" s="33" t="s">
        <v>69</v>
      </c>
      <c r="N12" s="32">
        <f>IFERROR(VLOOKUP(M12,'TARIFS 12 2025'!B11:J518,9,FALSE),"")</f>
        <v>4.8</v>
      </c>
      <c r="O12" s="36">
        <v>0.35</v>
      </c>
      <c r="P12" s="34">
        <f t="shared" si="3"/>
        <v>1.68</v>
      </c>
    </row>
    <row r="13" spans="1:16" x14ac:dyDescent="0.25">
      <c r="A13" s="33" t="s">
        <v>549</v>
      </c>
      <c r="B13" s="32">
        <f>IFERROR(VLOOKUP(A13,'TARIFS 12 2025'!B12:J470,9,FALSE),"")</f>
        <v>0.47273529411764703</v>
      </c>
      <c r="C13" s="36">
        <v>0.5</v>
      </c>
      <c r="D13" s="34">
        <f t="shared" si="0"/>
        <v>0.23636764705882352</v>
      </c>
      <c r="E13" s="33" t="s">
        <v>549</v>
      </c>
      <c r="F13" s="32">
        <f>IFERROR(VLOOKUP(E13,'TARIFS 12 2025'!B12:J477,9,FALSE),"")</f>
        <v>0.47273529411764703</v>
      </c>
      <c r="G13" s="36">
        <v>0.5</v>
      </c>
      <c r="H13" s="34">
        <f t="shared" si="1"/>
        <v>0.23636764705882352</v>
      </c>
      <c r="I13" s="33" t="s">
        <v>272</v>
      </c>
      <c r="J13" s="32">
        <f>IFERROR(VLOOKUP(I13,'TARIFS 12 2025'!B12:J511,9,FALSE),"")</f>
        <v>4.0000000000000001E-3</v>
      </c>
      <c r="K13" s="36">
        <v>0.1</v>
      </c>
      <c r="L13" s="34">
        <f t="shared" si="2"/>
        <v>4.0000000000000002E-4</v>
      </c>
      <c r="M13" s="33" t="s">
        <v>272</v>
      </c>
      <c r="N13" s="32">
        <f>IFERROR(VLOOKUP(M13,'TARIFS 12 2025'!B12:J519,9,FALSE),"")</f>
        <v>4.0000000000000001E-3</v>
      </c>
      <c r="O13" s="36">
        <v>0.1</v>
      </c>
      <c r="P13" s="34">
        <f t="shared" si="3"/>
        <v>4.0000000000000002E-4</v>
      </c>
    </row>
    <row r="14" spans="1:16" x14ac:dyDescent="0.25">
      <c r="A14" s="33" t="s">
        <v>498</v>
      </c>
      <c r="B14" s="32">
        <f>IFERROR(VLOOKUP(A14,'TARIFS 12 2025'!B13:J471,9,FALSE),"")</f>
        <v>2.72</v>
      </c>
      <c r="C14" s="36">
        <v>0.12</v>
      </c>
      <c r="D14" s="34">
        <f t="shared" si="0"/>
        <v>0.32640000000000002</v>
      </c>
      <c r="E14" s="33" t="s">
        <v>498</v>
      </c>
      <c r="F14" s="32">
        <f>IFERROR(VLOOKUP(E14,'TARIFS 12 2025'!B13:J478,9,FALSE),"")</f>
        <v>2.72</v>
      </c>
      <c r="G14" s="36">
        <v>0.12</v>
      </c>
      <c r="H14" s="34">
        <f t="shared" si="1"/>
        <v>0.32640000000000002</v>
      </c>
      <c r="I14" s="33"/>
      <c r="J14" s="32"/>
      <c r="K14" s="36"/>
      <c r="L14" s="34"/>
      <c r="M14" s="33" t="s">
        <v>270</v>
      </c>
      <c r="N14" s="32">
        <f>IFERROR(VLOOKUP(M14,'TARIFS 12 2025'!B13:J520,9,FALSE),"")</f>
        <v>5.95</v>
      </c>
      <c r="O14" s="36">
        <v>0.06</v>
      </c>
      <c r="P14" s="34">
        <f t="shared" si="3"/>
        <v>0.35699999999999998</v>
      </c>
    </row>
    <row r="15" spans="1:16" x14ac:dyDescent="0.25">
      <c r="A15" s="33"/>
      <c r="B15" s="32"/>
      <c r="C15" s="36">
        <f>SUM(C4:C14)</f>
        <v>4.9960000000000004</v>
      </c>
      <c r="D15" s="34"/>
      <c r="E15" s="33" t="s">
        <v>63</v>
      </c>
      <c r="F15" s="32">
        <f>IFERROR(VLOOKUP(E15,'TARIFS 12 2025'!B14:J480,9,FALSE),"")</f>
        <v>8.25</v>
      </c>
      <c r="G15" s="36">
        <v>0.48799999999999999</v>
      </c>
      <c r="H15" s="34">
        <f t="shared" si="1"/>
        <v>4.0259999999999998</v>
      </c>
      <c r="I15" s="33"/>
      <c r="J15" s="32" t="str">
        <f>IFERROR(VLOOKUP(I15,'TARIFS 12 2025'!B14:J513,9,FALSE),"")</f>
        <v/>
      </c>
      <c r="K15" s="36"/>
      <c r="L15" s="34"/>
      <c r="M15" s="33"/>
      <c r="N15" s="32"/>
      <c r="O15" s="36"/>
      <c r="P15" s="34"/>
    </row>
    <row r="16" spans="1:16" x14ac:dyDescent="0.25">
      <c r="A16" s="24"/>
      <c r="D16" s="25"/>
      <c r="E16" s="24"/>
      <c r="G16">
        <f>SUM(G4:G15)</f>
        <v>5.484</v>
      </c>
      <c r="H16" s="25"/>
      <c r="I16" s="24"/>
      <c r="K16">
        <f>SUM(K4:K13)</f>
        <v>2.5400000000000005</v>
      </c>
      <c r="L16" s="25"/>
      <c r="M16" s="24"/>
      <c r="O16">
        <f>SUM(O4:O14)</f>
        <v>2.6000000000000005</v>
      </c>
      <c r="P16" s="25"/>
    </row>
    <row r="17" spans="1:16" x14ac:dyDescent="0.25">
      <c r="A17" s="24"/>
      <c r="C17" t="s">
        <v>935</v>
      </c>
      <c r="D17" s="26">
        <f>+SUM(D4:D15)</f>
        <v>13.721207647058824</v>
      </c>
      <c r="E17" s="24"/>
      <c r="G17" t="s">
        <v>936</v>
      </c>
      <c r="H17" s="26">
        <f>+SUM(H4:H15)</f>
        <v>17.747207647058822</v>
      </c>
      <c r="I17" s="24"/>
      <c r="K17" t="s">
        <v>937</v>
      </c>
      <c r="L17" s="26">
        <f>+SUM(L4:L15)</f>
        <v>4.8193205882352945</v>
      </c>
      <c r="M17" s="24"/>
      <c r="O17" t="s">
        <v>938</v>
      </c>
      <c r="P17" s="26">
        <f>SUM(P4:P15)</f>
        <v>5.1763205882352947</v>
      </c>
    </row>
    <row r="18" spans="1:16" x14ac:dyDescent="0.25">
      <c r="A18" s="24"/>
      <c r="C18" t="s">
        <v>939</v>
      </c>
      <c r="D18" s="27">
        <f>0.068*D17/C15</f>
        <v>0.18675783026421136</v>
      </c>
      <c r="E18" s="24"/>
      <c r="G18" t="s">
        <v>939</v>
      </c>
      <c r="H18" s="27">
        <f>0.068*H17/G16</f>
        <v>0.22006019693654263</v>
      </c>
      <c r="I18" s="24"/>
      <c r="K18" t="s">
        <v>939</v>
      </c>
      <c r="L18" s="27">
        <f>0.6*L17/K16+0.14</f>
        <v>1.2784221861973135</v>
      </c>
      <c r="M18" s="24"/>
      <c r="O18" t="s">
        <v>939</v>
      </c>
      <c r="P18" s="27">
        <f>0.6*P17/O16</f>
        <v>1.194535520361991</v>
      </c>
    </row>
    <row r="19" spans="1:16" x14ac:dyDescent="0.25">
      <c r="A19" s="24"/>
      <c r="C19" t="s">
        <v>940</v>
      </c>
      <c r="D19" s="25">
        <v>1.2</v>
      </c>
      <c r="E19" s="24"/>
      <c r="G19" t="s">
        <v>940</v>
      </c>
      <c r="H19" s="25">
        <v>1.25</v>
      </c>
      <c r="I19" s="24"/>
      <c r="K19" t="s">
        <v>940</v>
      </c>
      <c r="L19" s="25">
        <v>7.2</v>
      </c>
      <c r="M19" s="24"/>
      <c r="O19" t="s">
        <v>940</v>
      </c>
      <c r="P19" s="25">
        <v>7.4</v>
      </c>
    </row>
    <row r="20" spans="1:16" x14ac:dyDescent="0.25">
      <c r="A20" s="24"/>
      <c r="C20" t="s">
        <v>941</v>
      </c>
      <c r="D20" s="27">
        <f>D19/(1+5.5/100)</f>
        <v>1.1374407582938388</v>
      </c>
      <c r="E20" s="24"/>
      <c r="G20" t="s">
        <v>941</v>
      </c>
      <c r="H20" s="27">
        <f>H19/(1+5.5/100)</f>
        <v>1.1848341232227488</v>
      </c>
      <c r="I20" s="24"/>
      <c r="K20" t="s">
        <v>941</v>
      </c>
      <c r="L20" s="27">
        <f>L19/(1+5.5/100)</f>
        <v>6.8246445497630335</v>
      </c>
      <c r="M20" s="24"/>
      <c r="O20" t="s">
        <v>941</v>
      </c>
      <c r="P20" s="27">
        <f>P19/(1+5.5/100)</f>
        <v>7.0142180094786735</v>
      </c>
    </row>
    <row r="21" spans="1:16" ht="15.75" x14ac:dyDescent="0.25">
      <c r="A21" s="24"/>
      <c r="C21" t="s">
        <v>942</v>
      </c>
      <c r="D21" s="31">
        <f>+D20/D18</f>
        <v>6.0904581975742094</v>
      </c>
      <c r="E21" s="24"/>
      <c r="G21" t="s">
        <v>942</v>
      </c>
      <c r="H21" s="31">
        <f>+H20/H18</f>
        <v>5.3841364304713952</v>
      </c>
      <c r="I21" s="24"/>
      <c r="K21" t="s">
        <v>942</v>
      </c>
      <c r="L21" s="31">
        <f>+L20/L18</f>
        <v>5.3383339427666252</v>
      </c>
      <c r="M21" s="24"/>
      <c r="O21" t="s">
        <v>942</v>
      </c>
      <c r="P21" s="31">
        <f>+P20/P18</f>
        <v>5.8719208344286749</v>
      </c>
    </row>
    <row r="22" spans="1:16" ht="15.75" thickBot="1" x14ac:dyDescent="0.3">
      <c r="A22" s="28"/>
      <c r="B22" s="29"/>
      <c r="C22" s="29" t="s">
        <v>0</v>
      </c>
      <c r="D22" s="30">
        <f>(D20-D18)*100/D20</f>
        <v>83.580874089271418</v>
      </c>
      <c r="E22" s="28"/>
      <c r="F22" s="29"/>
      <c r="G22" s="29" t="s">
        <v>0</v>
      </c>
      <c r="H22" s="30">
        <f>(H20-H18)*100/H20</f>
        <v>81.426919378555809</v>
      </c>
      <c r="I22" s="28"/>
      <c r="J22" s="29"/>
      <c r="K22" s="29" t="s">
        <v>0</v>
      </c>
      <c r="L22" s="30">
        <f>(L20-L18)*100/L20</f>
        <v>81.267563799469926</v>
      </c>
      <c r="M22" s="28"/>
      <c r="N22" s="29"/>
      <c r="O22" s="29" t="s">
        <v>0</v>
      </c>
      <c r="P22" s="30">
        <f>(P20-P18)*100/P20</f>
        <v>82.969797648893248</v>
      </c>
    </row>
    <row r="23" spans="1:16" ht="15.75" thickBot="1" x14ac:dyDescent="0.3"/>
    <row r="24" spans="1:16" ht="24.75" customHeight="1" thickBot="1" x14ac:dyDescent="0.3">
      <c r="A24" s="174" t="s">
        <v>943</v>
      </c>
      <c r="B24" s="175"/>
      <c r="C24" s="175"/>
      <c r="D24" s="176"/>
      <c r="E24" s="174" t="s">
        <v>944</v>
      </c>
      <c r="F24" s="175"/>
      <c r="G24" s="175"/>
      <c r="H24" s="176"/>
      <c r="I24" s="174" t="s">
        <v>945</v>
      </c>
      <c r="J24" s="175"/>
      <c r="K24" s="175"/>
      <c r="L24" s="176"/>
      <c r="M24" s="174" t="s">
        <v>946</v>
      </c>
      <c r="N24" s="175"/>
      <c r="O24" s="175"/>
      <c r="P24" s="176"/>
    </row>
    <row r="25" spans="1:16" x14ac:dyDescent="0.25">
      <c r="A25" s="37"/>
      <c r="B25" s="6" t="s">
        <v>933</v>
      </c>
      <c r="C25" s="6" t="s">
        <v>934</v>
      </c>
      <c r="D25" s="38"/>
      <c r="E25" s="37"/>
      <c r="F25" s="6" t="s">
        <v>933</v>
      </c>
      <c r="G25" s="6" t="s">
        <v>934</v>
      </c>
      <c r="H25" s="38"/>
      <c r="I25" s="37"/>
      <c r="J25" s="6" t="s">
        <v>933</v>
      </c>
      <c r="K25" s="6" t="s">
        <v>934</v>
      </c>
      <c r="L25" s="38"/>
      <c r="M25" s="37"/>
      <c r="N25" s="6" t="s">
        <v>933</v>
      </c>
      <c r="O25" s="6" t="s">
        <v>934</v>
      </c>
      <c r="P25" s="38"/>
    </row>
    <row r="26" spans="1:16" x14ac:dyDescent="0.25">
      <c r="A26" s="33" t="s">
        <v>318</v>
      </c>
      <c r="B26" s="32">
        <f>IFERROR(VLOOKUP(A26,'TARIFS 12 2025'!B3:J525,9,FALSE),"")</f>
        <v>1.05</v>
      </c>
      <c r="C26" s="36">
        <v>1</v>
      </c>
      <c r="D26" s="34">
        <f>+C26*B26</f>
        <v>1.05</v>
      </c>
      <c r="E26" s="33" t="s">
        <v>318</v>
      </c>
      <c r="F26" s="32">
        <f>IFERROR(VLOOKUP(E26,'TARIFS 12 2025'!B3:J493,9,FALSE),"")</f>
        <v>1.05</v>
      </c>
      <c r="G26" s="36">
        <v>6</v>
      </c>
      <c r="H26" s="34">
        <f>+G26*F26</f>
        <v>6.3000000000000007</v>
      </c>
      <c r="I26" s="33" t="s">
        <v>318</v>
      </c>
      <c r="J26" s="32">
        <f>IFERROR(VLOOKUP(I26,'TARIFS 12 2025'!B3:J491,9,FALSE),"")</f>
        <v>1.05</v>
      </c>
      <c r="K26" s="36">
        <v>6</v>
      </c>
      <c r="L26" s="34">
        <f>+K26*J26</f>
        <v>6.3000000000000007</v>
      </c>
      <c r="M26" s="33" t="s">
        <v>318</v>
      </c>
      <c r="N26" s="32">
        <f>IFERROR(VLOOKUP(M26,'TARIFS 12 2025'!B3:J501,9,FALSE),"")</f>
        <v>1.05</v>
      </c>
      <c r="O26" s="36">
        <v>6</v>
      </c>
      <c r="P26" s="34">
        <f>+O26*N26</f>
        <v>6.3000000000000007</v>
      </c>
    </row>
    <row r="27" spans="1:16" x14ac:dyDescent="0.25">
      <c r="A27" s="33" t="s">
        <v>831</v>
      </c>
      <c r="B27" s="32">
        <f>IFERROR(VLOOKUP(A27,'TARIFS 12 2025'!B4:J526,9,FALSE),"")</f>
        <v>0.27</v>
      </c>
      <c r="C27" s="36">
        <v>0.02</v>
      </c>
      <c r="D27" s="34">
        <f t="shared" ref="D27:D35" si="4">+C27*B27</f>
        <v>5.4000000000000003E-3</v>
      </c>
      <c r="E27" s="33" t="s">
        <v>831</v>
      </c>
      <c r="F27" s="32">
        <f>IFERROR(VLOOKUP(E27,'TARIFS 12 2025'!B4:J494,9,FALSE),"")</f>
        <v>0.27</v>
      </c>
      <c r="G27" s="36">
        <v>0.12</v>
      </c>
      <c r="H27" s="34">
        <f t="shared" ref="H27:H34" si="5">+G27*F27</f>
        <v>3.2399999999999998E-2</v>
      </c>
      <c r="I27" s="33" t="s">
        <v>831</v>
      </c>
      <c r="J27" s="32">
        <f>IFERROR(VLOOKUP(I27,'TARIFS 12 2025'!B4:J492,9,FALSE),"")</f>
        <v>0.27</v>
      </c>
      <c r="K27" s="36">
        <v>0.12</v>
      </c>
      <c r="L27" s="34">
        <f t="shared" ref="L27:L35" si="6">+K27*J27</f>
        <v>3.2399999999999998E-2</v>
      </c>
      <c r="M27" s="33" t="s">
        <v>831</v>
      </c>
      <c r="N27" s="32">
        <f>IFERROR(VLOOKUP(M27,'TARIFS 12 2025'!B4:J502,9,FALSE),"")</f>
        <v>0.27</v>
      </c>
      <c r="O27" s="36">
        <v>0.12</v>
      </c>
      <c r="P27" s="34">
        <f t="shared" ref="P27:P34" si="7">+O27*N27</f>
        <v>3.2399999999999998E-2</v>
      </c>
    </row>
    <row r="28" spans="1:16" x14ac:dyDescent="0.25">
      <c r="A28" s="33" t="s">
        <v>436</v>
      </c>
      <c r="B28" s="32">
        <f>IFERROR(VLOOKUP(A28,'TARIFS 12 2025'!B5:J527,9,FALSE),"")</f>
        <v>3.45</v>
      </c>
      <c r="C28" s="36">
        <v>0.04</v>
      </c>
      <c r="D28" s="34">
        <f t="shared" si="4"/>
        <v>0.13800000000000001</v>
      </c>
      <c r="E28" s="33" t="s">
        <v>436</v>
      </c>
      <c r="F28" s="32">
        <f>IFERROR(VLOOKUP(E28,'TARIFS 12 2025'!B5:J495,9,FALSE),"")</f>
        <v>3.45</v>
      </c>
      <c r="G28" s="36">
        <v>0.25</v>
      </c>
      <c r="H28" s="34">
        <f t="shared" si="5"/>
        <v>0.86250000000000004</v>
      </c>
      <c r="I28" s="33" t="s">
        <v>436</v>
      </c>
      <c r="J28" s="32">
        <f>IFERROR(VLOOKUP(I28,'TARIFS 12 2025'!B5:J493,9,FALSE),"")</f>
        <v>3.45</v>
      </c>
      <c r="K28" s="36">
        <v>0.25</v>
      </c>
      <c r="L28" s="34">
        <f t="shared" si="6"/>
        <v>0.86250000000000004</v>
      </c>
      <c r="M28" s="33" t="s">
        <v>436</v>
      </c>
      <c r="N28" s="32">
        <f>IFERROR(VLOOKUP(M28,'TARIFS 12 2025'!B5:J503,9,FALSE),"")</f>
        <v>3.45</v>
      </c>
      <c r="O28" s="36">
        <v>0.25</v>
      </c>
      <c r="P28" s="34">
        <f t="shared" si="7"/>
        <v>0.86250000000000004</v>
      </c>
    </row>
    <row r="29" spans="1:16" x14ac:dyDescent="0.25">
      <c r="A29" s="33" t="s">
        <v>453</v>
      </c>
      <c r="B29" s="32">
        <f>IFERROR(VLOOKUP(A29,'TARIFS 12 2025'!B6:J528,9,FALSE),"")</f>
        <v>3.99</v>
      </c>
      <c r="C29" s="36">
        <v>0.08</v>
      </c>
      <c r="D29" s="34">
        <f t="shared" si="4"/>
        <v>0.31920000000000004</v>
      </c>
      <c r="E29" s="33" t="s">
        <v>675</v>
      </c>
      <c r="F29" s="32">
        <f>IFERROR(VLOOKUP(E29,'TARIFS 12 2025'!B6:J496,9,FALSE),"")</f>
        <v>5.16</v>
      </c>
      <c r="G29" s="36">
        <v>0.3</v>
      </c>
      <c r="H29" s="34">
        <f t="shared" si="5"/>
        <v>1.548</v>
      </c>
      <c r="I29" s="33" t="s">
        <v>675</v>
      </c>
      <c r="J29" s="32">
        <f>IFERROR(VLOOKUP(I29,'TARIFS 12 2025'!B6:J494,9,FALSE),"")</f>
        <v>5.16</v>
      </c>
      <c r="K29" s="36">
        <v>0.3</v>
      </c>
      <c r="L29" s="34">
        <f t="shared" si="6"/>
        <v>1.548</v>
      </c>
      <c r="M29" s="33" t="s">
        <v>675</v>
      </c>
      <c r="N29" s="32">
        <f>IFERROR(VLOOKUP(M29,'TARIFS 12 2025'!B6:J504,9,FALSE),"")</f>
        <v>5.16</v>
      </c>
      <c r="O29" s="36">
        <v>0.3</v>
      </c>
      <c r="P29" s="34">
        <f t="shared" si="7"/>
        <v>1.548</v>
      </c>
    </row>
    <row r="30" spans="1:16" x14ac:dyDescent="0.25">
      <c r="A30" s="33" t="s">
        <v>498</v>
      </c>
      <c r="B30" s="32">
        <f>IFERROR(VLOOKUP(A30,'TARIFS 12 2025'!B7:J529,9,FALSE),"")</f>
        <v>2.72</v>
      </c>
      <c r="C30" s="36">
        <v>7</v>
      </c>
      <c r="D30" s="34">
        <f t="shared" si="4"/>
        <v>19.040000000000003</v>
      </c>
      <c r="E30" s="33" t="s">
        <v>272</v>
      </c>
      <c r="F30" s="32">
        <f>IFERROR(VLOOKUP(E30,'TARIFS 12 2025'!B7:J497,9,FALSE),"")</f>
        <v>4.0000000000000001E-3</v>
      </c>
      <c r="G30" s="36">
        <v>2.2000000000000002</v>
      </c>
      <c r="H30" s="34">
        <f t="shared" si="5"/>
        <v>8.8000000000000005E-3</v>
      </c>
      <c r="I30" s="33" t="s">
        <v>272</v>
      </c>
      <c r="J30" s="32">
        <f>IFERROR(VLOOKUP(I30,'TARIFS 12 2025'!B7:J495,9,FALSE),"")</f>
        <v>4.0000000000000001E-3</v>
      </c>
      <c r="K30" s="36">
        <v>2.2000000000000002</v>
      </c>
      <c r="L30" s="34">
        <f t="shared" si="6"/>
        <v>8.8000000000000005E-3</v>
      </c>
      <c r="M30" s="33" t="s">
        <v>272</v>
      </c>
      <c r="N30" s="32">
        <f>IFERROR(VLOOKUP(M30,'TARIFS 12 2025'!B7:J505,9,FALSE),"")</f>
        <v>4.0000000000000001E-3</v>
      </c>
      <c r="O30" s="36">
        <v>2.2000000000000002</v>
      </c>
      <c r="P30" s="34">
        <f t="shared" si="7"/>
        <v>8.8000000000000005E-3</v>
      </c>
    </row>
    <row r="31" spans="1:16" x14ac:dyDescent="0.25">
      <c r="A31" s="33" t="s">
        <v>883</v>
      </c>
      <c r="B31" s="32">
        <f>IFERROR(VLOOKUP(A31,'TARIFS 12 2025'!B8:J530,9,FALSE),"")</f>
        <v>4.49</v>
      </c>
      <c r="C31" s="36">
        <v>0.05</v>
      </c>
      <c r="D31" s="34">
        <f t="shared" si="4"/>
        <v>0.22450000000000003</v>
      </c>
      <c r="E31" s="33" t="s">
        <v>498</v>
      </c>
      <c r="F31" s="32">
        <f>IFERROR(VLOOKUP(E31,'TARIFS 12 2025'!B8:J498,9,FALSE),"")</f>
        <v>2.72</v>
      </c>
      <c r="G31" s="36">
        <v>13</v>
      </c>
      <c r="H31" s="34">
        <f t="shared" si="5"/>
        <v>35.36</v>
      </c>
      <c r="I31" s="33" t="s">
        <v>498</v>
      </c>
      <c r="J31" s="32">
        <f>IFERROR(VLOOKUP(I31,'TARIFS 12 2025'!B8:J496,9,FALSE),"")</f>
        <v>2.72</v>
      </c>
      <c r="K31" s="36">
        <v>13</v>
      </c>
      <c r="L31" s="34">
        <f t="shared" si="6"/>
        <v>35.36</v>
      </c>
      <c r="M31" s="33" t="s">
        <v>498</v>
      </c>
      <c r="N31" s="32">
        <f>IFERROR(VLOOKUP(M31,'TARIFS 12 2025'!B8:J506,9,FALSE),"")</f>
        <v>2.72</v>
      </c>
      <c r="O31" s="36">
        <v>0.72</v>
      </c>
      <c r="P31" s="34">
        <f t="shared" si="7"/>
        <v>1.9584000000000001</v>
      </c>
    </row>
    <row r="32" spans="1:16" x14ac:dyDescent="0.25">
      <c r="A32" s="33" t="s">
        <v>549</v>
      </c>
      <c r="B32" s="32">
        <f>IFERROR(VLOOKUP(A32,'TARIFS 12 2025'!B9:J531,9,FALSE),"")</f>
        <v>0.47273529411764703</v>
      </c>
      <c r="C32" s="36">
        <v>0.3</v>
      </c>
      <c r="D32" s="34">
        <f t="shared" si="4"/>
        <v>0.14182058823529411</v>
      </c>
      <c r="E32" s="33" t="s">
        <v>883</v>
      </c>
      <c r="F32" s="32">
        <f>IFERROR(VLOOKUP(E32,'TARIFS 12 2025'!B9:J499,9,FALSE),"")</f>
        <v>4.49</v>
      </c>
      <c r="G32" s="36">
        <v>0.03</v>
      </c>
      <c r="H32" s="34">
        <f t="shared" si="5"/>
        <v>0.13470000000000001</v>
      </c>
      <c r="I32" s="33" t="s">
        <v>883</v>
      </c>
      <c r="J32" s="32">
        <f>IFERROR(VLOOKUP(I32,'TARIFS 12 2025'!B9:J497,9,FALSE),"")</f>
        <v>4.49</v>
      </c>
      <c r="K32" s="36">
        <v>0.03</v>
      </c>
      <c r="L32" s="34">
        <f t="shared" si="6"/>
        <v>0.13470000000000001</v>
      </c>
      <c r="M32" s="33" t="s">
        <v>883</v>
      </c>
      <c r="N32" s="32">
        <f>IFERROR(VLOOKUP(M32,'TARIFS 12 2025'!B9:J507,9,FALSE),"")</f>
        <v>4.49</v>
      </c>
      <c r="O32" s="36">
        <v>0.03</v>
      </c>
      <c r="P32" s="34">
        <f t="shared" si="7"/>
        <v>0.13470000000000001</v>
      </c>
    </row>
    <row r="33" spans="1:16" x14ac:dyDescent="0.25">
      <c r="A33" s="33" t="s">
        <v>854</v>
      </c>
      <c r="B33" s="32">
        <f>IFERROR(VLOOKUP(A33,'TARIFS 12 2025'!B10:J532,9,FALSE),"")</f>
        <v>0.86</v>
      </c>
      <c r="C33" s="36">
        <v>0.2</v>
      </c>
      <c r="D33" s="34">
        <f t="shared" si="4"/>
        <v>0.17200000000000001</v>
      </c>
      <c r="E33" s="33" t="s">
        <v>854</v>
      </c>
      <c r="F33" s="32">
        <f>IFERROR(VLOOKUP(E33,'TARIFS 12 2025'!B10:J500,9,FALSE),"")</f>
        <v>0.86</v>
      </c>
      <c r="G33" s="36">
        <v>0.36</v>
      </c>
      <c r="H33" s="34">
        <f t="shared" si="5"/>
        <v>0.30959999999999999</v>
      </c>
      <c r="I33" s="33" t="s">
        <v>854</v>
      </c>
      <c r="J33" s="32">
        <f>IFERROR(VLOOKUP(I33,'TARIFS 12 2025'!B10:J498,9,FALSE),"")</f>
        <v>0.86</v>
      </c>
      <c r="K33" s="36">
        <v>0.36</v>
      </c>
      <c r="L33" s="34">
        <f t="shared" si="6"/>
        <v>0.30959999999999999</v>
      </c>
      <c r="M33" s="33" t="s">
        <v>854</v>
      </c>
      <c r="N33" s="32">
        <f>IFERROR(VLOOKUP(M33,'TARIFS 12 2025'!B10:J508,9,FALSE),"")</f>
        <v>0.86</v>
      </c>
      <c r="O33" s="36">
        <v>0.36</v>
      </c>
      <c r="P33" s="34">
        <f t="shared" si="7"/>
        <v>0.30959999999999999</v>
      </c>
    </row>
    <row r="34" spans="1:16" x14ac:dyDescent="0.25">
      <c r="A34" s="33" t="s">
        <v>69</v>
      </c>
      <c r="B34" s="32">
        <f>IFERROR(VLOOKUP(A34,'TARIFS 12 2025'!B11:J533,9,FALSE),"")</f>
        <v>4.8</v>
      </c>
      <c r="C34" s="36">
        <v>0.35</v>
      </c>
      <c r="D34" s="34">
        <f t="shared" si="4"/>
        <v>1.68</v>
      </c>
      <c r="E34" s="33" t="s">
        <v>69</v>
      </c>
      <c r="F34" s="32">
        <f>IFERROR(VLOOKUP(E34,'TARIFS 12 2025'!B11:J501,9,FALSE),"")</f>
        <v>4.8</v>
      </c>
      <c r="G34" s="36">
        <v>1.2</v>
      </c>
      <c r="H34" s="34">
        <f t="shared" si="5"/>
        <v>5.76</v>
      </c>
      <c r="I34" s="33" t="s">
        <v>69</v>
      </c>
      <c r="J34" s="32">
        <f>IFERROR(VLOOKUP(I34,'TARIFS 12 2025'!B11:J499,9,FALSE),"")</f>
        <v>4.8</v>
      </c>
      <c r="K34" s="36">
        <v>1.2</v>
      </c>
      <c r="L34" s="34">
        <f t="shared" si="6"/>
        <v>5.76</v>
      </c>
      <c r="M34" s="33" t="s">
        <v>69</v>
      </c>
      <c r="N34" s="32">
        <f>IFERROR(VLOOKUP(M34,'TARIFS 12 2025'!B11:J509,9,FALSE),"")</f>
        <v>4.8</v>
      </c>
      <c r="O34" s="36">
        <v>1.2</v>
      </c>
      <c r="P34" s="34">
        <f t="shared" si="7"/>
        <v>5.76</v>
      </c>
    </row>
    <row r="35" spans="1:16" x14ac:dyDescent="0.25">
      <c r="A35" s="33" t="s">
        <v>272</v>
      </c>
      <c r="B35" s="32">
        <f>IFERROR(VLOOKUP(A35,'TARIFS 12 2025'!B12:J534,9,FALSE),"")</f>
        <v>4.0000000000000001E-3</v>
      </c>
      <c r="C35" s="36">
        <v>0.1</v>
      </c>
      <c r="D35" s="34">
        <f t="shared" si="4"/>
        <v>4.0000000000000002E-4</v>
      </c>
      <c r="E35" s="33"/>
      <c r="F35" s="32"/>
      <c r="G35" s="36"/>
      <c r="H35" s="34"/>
      <c r="I35" s="33" t="s">
        <v>270</v>
      </c>
      <c r="J35" s="32">
        <f>IFERROR(VLOOKUP(I35,'TARIFS 12 2025'!B12:J500,9,FALSE),"")</f>
        <v>5.95</v>
      </c>
      <c r="K35" s="36">
        <v>0.01</v>
      </c>
      <c r="L35" s="34">
        <f t="shared" si="6"/>
        <v>5.9500000000000004E-2</v>
      </c>
      <c r="M35" s="33"/>
      <c r="N35" s="32"/>
      <c r="O35" s="36"/>
      <c r="P35" s="34"/>
    </row>
    <row r="36" spans="1:16" x14ac:dyDescent="0.25">
      <c r="A36" s="33"/>
      <c r="B36" s="32"/>
      <c r="C36" s="36"/>
      <c r="D36" s="34"/>
      <c r="E36" s="33"/>
      <c r="F36" s="32" t="str">
        <f>IFERROR(VLOOKUP(E36,'TARIFS 12 2025'!B13:J503,9,FALSE),"")</f>
        <v/>
      </c>
      <c r="G36" s="36"/>
      <c r="H36" s="34"/>
      <c r="I36" s="33"/>
      <c r="J36" s="32" t="str">
        <f>IFERROR(VLOOKUP(I36,'TARIFS 12 2025'!F13:N503,9,FALSE),"")</f>
        <v/>
      </c>
      <c r="K36" s="36"/>
      <c r="L36" s="34"/>
      <c r="M36" s="33"/>
      <c r="N36" s="32" t="str">
        <f>IFERROR(VLOOKUP(M36,'TARIFS 12 2025'!J13:R503,9,FALSE),"")</f>
        <v/>
      </c>
      <c r="O36" s="36"/>
      <c r="P36" s="34"/>
    </row>
    <row r="37" spans="1:16" x14ac:dyDescent="0.25">
      <c r="A37" s="33"/>
      <c r="B37" s="32"/>
      <c r="C37" s="36"/>
      <c r="D37" s="34"/>
      <c r="E37" s="33"/>
      <c r="F37" s="32" t="str">
        <f>IFERROR(VLOOKUP(E37,'TARIFS 12 2025'!B14:J504,9,FALSE),"")</f>
        <v/>
      </c>
      <c r="G37" s="36"/>
      <c r="H37" s="34"/>
      <c r="I37" s="33"/>
      <c r="J37" s="32" t="str">
        <f>IFERROR(VLOOKUP(I37,'TARIFS 12 2025'!F14:N504,9,FALSE),"")</f>
        <v/>
      </c>
      <c r="K37" s="36"/>
      <c r="L37" s="34"/>
      <c r="M37" s="33"/>
      <c r="N37" s="32" t="str">
        <f>IFERROR(VLOOKUP(M37,'TARIFS 12 2025'!J14:R504,9,FALSE),"")</f>
        <v/>
      </c>
      <c r="O37" s="36"/>
      <c r="P37" s="34"/>
    </row>
    <row r="38" spans="1:16" x14ac:dyDescent="0.25">
      <c r="A38" s="24"/>
      <c r="D38" s="25"/>
      <c r="E38" s="24"/>
      <c r="H38" s="25"/>
      <c r="I38" s="24"/>
      <c r="L38" s="25"/>
      <c r="M38" s="24"/>
      <c r="O38">
        <f>SUM(O26:O34)</f>
        <v>11.18</v>
      </c>
      <c r="P38" s="25"/>
    </row>
    <row r="39" spans="1:16" x14ac:dyDescent="0.25">
      <c r="A39" s="24"/>
      <c r="C39" t="s">
        <v>947</v>
      </c>
      <c r="D39" s="26">
        <f>+SUM(D26:D37)</f>
        <v>22.771320588235294</v>
      </c>
      <c r="E39" s="24"/>
      <c r="G39" t="s">
        <v>948</v>
      </c>
      <c r="H39" s="26">
        <f>+SUM(H26:H37)</f>
        <v>50.316000000000003</v>
      </c>
      <c r="I39" s="24"/>
      <c r="K39" t="s">
        <v>949</v>
      </c>
      <c r="L39" s="26">
        <f>+SUM(L26:L37)</f>
        <v>50.375500000000002</v>
      </c>
      <c r="M39" s="24"/>
      <c r="O39" t="s">
        <v>950</v>
      </c>
      <c r="P39" s="26">
        <f>+SUM(P26:P37)</f>
        <v>16.914400000000001</v>
      </c>
    </row>
    <row r="40" spans="1:16" x14ac:dyDescent="0.25">
      <c r="A40" s="24"/>
      <c r="C40" t="s">
        <v>939</v>
      </c>
      <c r="D40" s="27">
        <f>+D39/25</f>
        <v>0.91085282352941177</v>
      </c>
      <c r="E40" s="24"/>
      <c r="G40" t="s">
        <v>939</v>
      </c>
      <c r="H40" s="27">
        <f>+H39/44.72</f>
        <v>1.1251341681574241</v>
      </c>
      <c r="I40" s="24"/>
      <c r="K40" t="s">
        <v>939</v>
      </c>
      <c r="L40" s="27">
        <f>+L39/56</f>
        <v>0.89956250000000004</v>
      </c>
      <c r="M40" s="24"/>
      <c r="O40" t="s">
        <v>939</v>
      </c>
      <c r="P40" s="27">
        <f>0.1*P39/O38</f>
        <v>0.15129159212880144</v>
      </c>
    </row>
    <row r="41" spans="1:16" x14ac:dyDescent="0.25">
      <c r="B41" s="25"/>
      <c r="C41" t="s">
        <v>940</v>
      </c>
      <c r="D41" s="25">
        <v>1.8</v>
      </c>
      <c r="E41" s="24"/>
      <c r="G41" t="s">
        <v>940</v>
      </c>
      <c r="H41" s="25">
        <v>1.8</v>
      </c>
      <c r="I41" s="24"/>
      <c r="K41" t="s">
        <v>940</v>
      </c>
      <c r="L41" s="25">
        <v>1.1000000000000001</v>
      </c>
      <c r="M41" s="24"/>
      <c r="O41" t="s">
        <v>940</v>
      </c>
      <c r="P41" s="25">
        <v>1</v>
      </c>
    </row>
    <row r="42" spans="1:16" x14ac:dyDescent="0.25">
      <c r="B42" s="27"/>
      <c r="C42" t="s">
        <v>941</v>
      </c>
      <c r="D42" s="27">
        <f>D41/(1+5.5/100)</f>
        <v>1.7061611374407584</v>
      </c>
      <c r="E42" s="24"/>
      <c r="G42" t="s">
        <v>941</v>
      </c>
      <c r="H42" s="27">
        <f>H41/(1+5.5/100)</f>
        <v>1.7061611374407584</v>
      </c>
      <c r="I42" s="24"/>
      <c r="K42" t="s">
        <v>941</v>
      </c>
      <c r="L42" s="27">
        <f>L41/(1+5.5/100)</f>
        <v>1.0426540284360191</v>
      </c>
      <c r="M42" s="24"/>
      <c r="O42" t="s">
        <v>941</v>
      </c>
      <c r="P42" s="27">
        <f>P41/(1+5.5/100)</f>
        <v>0.94786729857819907</v>
      </c>
    </row>
    <row r="43" spans="1:16" ht="15.75" x14ac:dyDescent="0.25">
      <c r="B43" s="31"/>
      <c r="C43" t="s">
        <v>942</v>
      </c>
      <c r="D43" s="31">
        <f>+D42/D40</f>
        <v>1.8731468941707308</v>
      </c>
      <c r="E43" s="24"/>
      <c r="G43" t="s">
        <v>942</v>
      </c>
      <c r="H43" s="31">
        <f>+H42/H40</f>
        <v>1.5164068301604003</v>
      </c>
      <c r="I43" s="24"/>
      <c r="K43" t="s">
        <v>942</v>
      </c>
      <c r="L43" s="31">
        <f>+L42/L40</f>
        <v>1.1590679118304943</v>
      </c>
      <c r="M43" s="24"/>
      <c r="O43" t="s">
        <v>942</v>
      </c>
      <c r="P43" s="31">
        <f>+P42/P40</f>
        <v>6.2651683761199122</v>
      </c>
    </row>
    <row r="44" spans="1:16" ht="15.75" thickBot="1" x14ac:dyDescent="0.3">
      <c r="A44" s="29"/>
      <c r="B44" s="30"/>
      <c r="C44" s="29" t="s">
        <v>0</v>
      </c>
      <c r="D44" s="30">
        <f>(D42-D40)*100/D42</f>
        <v>46.613903954248364</v>
      </c>
      <c r="E44" s="28"/>
      <c r="F44" s="29"/>
      <c r="G44" s="29" t="s">
        <v>0</v>
      </c>
      <c r="H44" s="30">
        <f>(H42-H40)*100/H42</f>
        <v>34.054636255217645</v>
      </c>
      <c r="I44" s="28"/>
      <c r="J44" s="29"/>
      <c r="K44" s="29" t="s">
        <v>0</v>
      </c>
      <c r="L44" s="30">
        <f>(L42-L40)*100/L42</f>
        <v>13.723778409090913</v>
      </c>
      <c r="M44" s="28"/>
      <c r="N44" s="29"/>
      <c r="O44" s="29" t="s">
        <v>0</v>
      </c>
      <c r="P44" s="30">
        <f>(P42-P40)*100/P42</f>
        <v>84.038737030411454</v>
      </c>
    </row>
    <row r="45" spans="1:16" ht="15.75" thickBot="1" x14ac:dyDescent="0.3"/>
    <row r="46" spans="1:16" ht="24.75" customHeight="1" thickBot="1" x14ac:dyDescent="0.3">
      <c r="A46" s="174" t="s">
        <v>951</v>
      </c>
      <c r="B46" s="175"/>
      <c r="C46" s="175"/>
      <c r="D46" s="176"/>
      <c r="E46" s="174" t="s">
        <v>952</v>
      </c>
      <c r="F46" s="175"/>
      <c r="G46" s="175"/>
      <c r="H46" s="176"/>
      <c r="I46" s="174"/>
      <c r="J46" s="175"/>
      <c r="K46" s="175"/>
      <c r="L46" s="176"/>
      <c r="M46" s="174"/>
      <c r="N46" s="175"/>
      <c r="O46" s="175"/>
      <c r="P46" s="176"/>
    </row>
    <row r="47" spans="1:16" x14ac:dyDescent="0.25">
      <c r="A47" s="37"/>
      <c r="B47" s="6" t="s">
        <v>933</v>
      </c>
      <c r="C47" s="6" t="s">
        <v>934</v>
      </c>
      <c r="D47" s="38"/>
      <c r="E47" s="37"/>
      <c r="F47" s="6" t="s">
        <v>933</v>
      </c>
      <c r="G47" s="6" t="s">
        <v>934</v>
      </c>
      <c r="H47" s="38"/>
      <c r="I47" s="37"/>
      <c r="J47" s="6" t="s">
        <v>933</v>
      </c>
      <c r="K47" s="6" t="s">
        <v>934</v>
      </c>
      <c r="L47" s="38"/>
      <c r="M47" s="37"/>
      <c r="N47" s="6" t="s">
        <v>933</v>
      </c>
      <c r="O47" s="6" t="s">
        <v>934</v>
      </c>
      <c r="P47" s="38"/>
    </row>
    <row r="48" spans="1:16" x14ac:dyDescent="0.25">
      <c r="A48" s="33" t="s">
        <v>318</v>
      </c>
      <c r="B48" s="32">
        <f>IFERROR(VLOOKUP(A48,'TARIFS 12 2025'!B51:J507,9,FALSE),"")</f>
        <v>1.05</v>
      </c>
      <c r="C48" s="36">
        <v>2</v>
      </c>
      <c r="D48" s="34">
        <f>+C48*B48</f>
        <v>2.1</v>
      </c>
      <c r="E48" s="33" t="s">
        <v>318</v>
      </c>
      <c r="F48" s="32">
        <f>IFERROR(VLOOKUP(E48,'TARIFS 12 2025'!B3:J495,9,FALSE),"")</f>
        <v>1.05</v>
      </c>
      <c r="G48" s="36">
        <v>2</v>
      </c>
      <c r="H48" s="34">
        <f>+G48*F48</f>
        <v>2.1</v>
      </c>
      <c r="I48" s="33"/>
      <c r="J48" s="32"/>
      <c r="K48" s="36"/>
      <c r="L48" s="34"/>
      <c r="M48" s="33"/>
      <c r="N48" s="32" t="str">
        <f>IFERROR(VLOOKUP(M48,'TARIFS 12 2025'!B25:J523,9,FALSE),"")</f>
        <v/>
      </c>
      <c r="O48" s="36"/>
      <c r="P48" s="34" t="e">
        <f>+O48*N48</f>
        <v>#VALUE!</v>
      </c>
    </row>
    <row r="49" spans="1:16" x14ac:dyDescent="0.25">
      <c r="A49" s="33" t="s">
        <v>854</v>
      </c>
      <c r="B49" s="32">
        <f>IFERROR(VLOOKUP(A49,'TARIFS 12 2025'!B52:J508,9,FALSE),"")</f>
        <v>0.86</v>
      </c>
      <c r="C49" s="36">
        <v>0.22</v>
      </c>
      <c r="D49" s="34">
        <f t="shared" ref="D49:D60" si="8">+C49*B49</f>
        <v>0.18920000000000001</v>
      </c>
      <c r="E49" s="33" t="s">
        <v>854</v>
      </c>
      <c r="F49" s="32">
        <f>IFERROR(VLOOKUP(E49,'TARIFS 12 2025'!B4:J496,9,FALSE),"")</f>
        <v>0.86</v>
      </c>
      <c r="G49" s="36">
        <v>0.22</v>
      </c>
      <c r="H49" s="34">
        <f t="shared" ref="H49:H60" si="9">+G49*F49</f>
        <v>0.18920000000000001</v>
      </c>
      <c r="I49" s="33"/>
      <c r="J49" s="32" t="str">
        <f>IFERROR(VLOOKUP(I49,'TARIFS 12 2025'!B26:J514,9,FALSE),"")</f>
        <v/>
      </c>
      <c r="K49" s="36"/>
      <c r="L49" s="34"/>
      <c r="M49" s="33"/>
      <c r="N49" s="32" t="str">
        <f>IFERROR(VLOOKUP(M49,'TARIFS 12 2025'!B26:J524,9,FALSE),"")</f>
        <v/>
      </c>
      <c r="O49" s="36"/>
      <c r="P49" s="34" t="e">
        <f t="shared" ref="P49:P56" si="10">+O49*N49</f>
        <v>#VALUE!</v>
      </c>
    </row>
    <row r="50" spans="1:16" x14ac:dyDescent="0.25">
      <c r="A50" s="33" t="s">
        <v>831</v>
      </c>
      <c r="B50" s="32">
        <f>IFERROR(VLOOKUP(A50,'TARIFS 12 2025'!B53:J509,9,FALSE),"")</f>
        <v>0.27</v>
      </c>
      <c r="C50" s="36">
        <v>0.04</v>
      </c>
      <c r="D50" s="34">
        <f t="shared" si="8"/>
        <v>1.0800000000000001E-2</v>
      </c>
      <c r="E50" s="33" t="s">
        <v>831</v>
      </c>
      <c r="F50" s="32">
        <f>IFERROR(VLOOKUP(E50,'TARIFS 12 2025'!B5:J497,9,FALSE),"")</f>
        <v>0.27</v>
      </c>
      <c r="G50" s="36">
        <v>0.04</v>
      </c>
      <c r="H50" s="34">
        <f t="shared" si="9"/>
        <v>1.0800000000000001E-2</v>
      </c>
      <c r="I50" s="33"/>
      <c r="J50" s="32" t="str">
        <f>IFERROR(VLOOKUP(I50,'TARIFS 12 2025'!B27:J515,9,FALSE),"")</f>
        <v/>
      </c>
      <c r="K50" s="36"/>
      <c r="L50" s="34"/>
      <c r="M50" s="33"/>
      <c r="N50" s="32" t="str">
        <f>IFERROR(VLOOKUP(M50,'TARIFS 12 2025'!B27:J525,9,FALSE),"")</f>
        <v/>
      </c>
      <c r="O50" s="36"/>
      <c r="P50" s="34" t="e">
        <f t="shared" si="10"/>
        <v>#VALUE!</v>
      </c>
    </row>
    <row r="51" spans="1:16" x14ac:dyDescent="0.25">
      <c r="A51" s="33" t="s">
        <v>883</v>
      </c>
      <c r="B51" s="32">
        <f>IFERROR(VLOOKUP(A51,'TARIFS 12 2025'!B54:J510,9,FALSE),"")</f>
        <v>4.49</v>
      </c>
      <c r="C51" s="36">
        <v>1.6E-2</v>
      </c>
      <c r="D51" s="34">
        <f t="shared" si="8"/>
        <v>7.1840000000000001E-2</v>
      </c>
      <c r="E51" s="33" t="s">
        <v>883</v>
      </c>
      <c r="F51" s="32">
        <f>IFERROR(VLOOKUP(E51,'TARIFS 12 2025'!B6:J498,9,FALSE),"")</f>
        <v>4.49</v>
      </c>
      <c r="G51" s="36">
        <v>1.6E-2</v>
      </c>
      <c r="H51" s="34">
        <f t="shared" si="9"/>
        <v>7.1840000000000001E-2</v>
      </c>
      <c r="I51" s="33"/>
      <c r="J51" s="32" t="str">
        <f>IFERROR(VLOOKUP(I51,'TARIFS 12 2025'!B28:J516,9,FALSE),"")</f>
        <v/>
      </c>
      <c r="K51" s="36"/>
      <c r="L51" s="34"/>
      <c r="M51" s="33"/>
      <c r="N51" s="32" t="str">
        <f>IFERROR(VLOOKUP(M51,'TARIFS 12 2025'!B28:J526,9,FALSE),"")</f>
        <v/>
      </c>
      <c r="O51" s="36"/>
      <c r="P51" s="34" t="e">
        <f t="shared" si="10"/>
        <v>#VALUE!</v>
      </c>
    </row>
    <row r="52" spans="1:16" x14ac:dyDescent="0.25">
      <c r="A52" s="33" t="s">
        <v>436</v>
      </c>
      <c r="B52" s="32">
        <f>IFERROR(VLOOKUP(A52,'TARIFS 12 2025'!B55:J511,9,FALSE),"")</f>
        <v>3.45</v>
      </c>
      <c r="C52" s="36">
        <v>0.08</v>
      </c>
      <c r="D52" s="34">
        <f t="shared" si="8"/>
        <v>0.27600000000000002</v>
      </c>
      <c r="E52" s="33" t="s">
        <v>436</v>
      </c>
      <c r="F52" s="32">
        <f>IFERROR(VLOOKUP(E52,'TARIFS 12 2025'!B7:J499,9,FALSE),"")</f>
        <v>3.45</v>
      </c>
      <c r="G52" s="36">
        <v>0.08</v>
      </c>
      <c r="H52" s="34">
        <f t="shared" si="9"/>
        <v>0.27600000000000002</v>
      </c>
      <c r="I52" s="33"/>
      <c r="J52" s="32" t="str">
        <f>IFERROR(VLOOKUP(I52,'TARIFS 12 2025'!B29:J517,9,FALSE),"")</f>
        <v/>
      </c>
      <c r="K52" s="36"/>
      <c r="L52" s="34"/>
      <c r="M52" s="33"/>
      <c r="N52" s="32" t="str">
        <f>IFERROR(VLOOKUP(M52,'TARIFS 12 2025'!B29:J527,9,FALSE),"")</f>
        <v/>
      </c>
      <c r="O52" s="36"/>
      <c r="P52" s="34" t="e">
        <f t="shared" si="10"/>
        <v>#VALUE!</v>
      </c>
    </row>
    <row r="53" spans="1:16" x14ac:dyDescent="0.25">
      <c r="A53" s="33" t="s">
        <v>73</v>
      </c>
      <c r="B53" s="32">
        <f>IFERROR(VLOOKUP(A53,'TARIFS 12 2025'!B3:J472,9,FALSE),"")</f>
        <v>9.1</v>
      </c>
      <c r="C53" s="36">
        <v>1</v>
      </c>
      <c r="D53" s="34">
        <f t="shared" si="8"/>
        <v>9.1</v>
      </c>
      <c r="E53" s="33" t="s">
        <v>73</v>
      </c>
      <c r="F53" s="32">
        <f>IFERROR(VLOOKUP(E53,'TARIFS 12 2025'!B8:J500,9,FALSE),"")</f>
        <v>9.1</v>
      </c>
      <c r="G53" s="36">
        <v>1</v>
      </c>
      <c r="H53" s="34">
        <f t="shared" si="9"/>
        <v>9.1</v>
      </c>
      <c r="I53" s="33"/>
      <c r="J53" s="32" t="str">
        <f>IFERROR(VLOOKUP(I53,'TARIFS 12 2025'!B30:J518,9,FALSE),"")</f>
        <v/>
      </c>
      <c r="K53" s="36"/>
      <c r="L53" s="34"/>
      <c r="M53" s="33"/>
      <c r="N53" s="32" t="str">
        <f>IFERROR(VLOOKUP(M53,'TARIFS 12 2025'!B30:J528,9,FALSE),"")</f>
        <v/>
      </c>
      <c r="O53" s="36"/>
      <c r="P53" s="34" t="e">
        <f t="shared" si="10"/>
        <v>#VALUE!</v>
      </c>
    </row>
    <row r="54" spans="1:16" x14ac:dyDescent="0.25">
      <c r="A54" s="33" t="s">
        <v>69</v>
      </c>
      <c r="B54" s="32">
        <f>IFERROR(VLOOKUP(A54,'TARIFS 12 2025'!B3:J485,9,FALSE),"")</f>
        <v>4.8</v>
      </c>
      <c r="C54" s="36">
        <v>0.16</v>
      </c>
      <c r="D54" s="34">
        <f t="shared" si="8"/>
        <v>0.76800000000000002</v>
      </c>
      <c r="E54" s="33" t="s">
        <v>69</v>
      </c>
      <c r="F54" s="32">
        <f>IFERROR(VLOOKUP(E54,'TARIFS 12 2025'!B9:J501,9,FALSE),"")</f>
        <v>4.8</v>
      </c>
      <c r="G54" s="36">
        <v>0.16</v>
      </c>
      <c r="H54" s="34">
        <f t="shared" si="9"/>
        <v>0.76800000000000002</v>
      </c>
      <c r="I54" s="33"/>
      <c r="J54" s="32" t="str">
        <f>IFERROR(VLOOKUP(I54,'TARIFS 12 2025'!B31:J519,9,FALSE),"")</f>
        <v/>
      </c>
      <c r="K54" s="36"/>
      <c r="L54" s="34"/>
      <c r="M54" s="33"/>
      <c r="N54" s="32" t="str">
        <f>IFERROR(VLOOKUP(M54,'TARIFS 12 2025'!B31:J529,9,FALSE),"")</f>
        <v/>
      </c>
      <c r="O54" s="36"/>
      <c r="P54" s="34" t="e">
        <f t="shared" si="10"/>
        <v>#VALUE!</v>
      </c>
    </row>
    <row r="55" spans="1:16" x14ac:dyDescent="0.25">
      <c r="A55" s="33" t="s">
        <v>272</v>
      </c>
      <c r="B55" s="32">
        <f>IFERROR(VLOOKUP(A55,'TARIFS 12 2025'!B58:J514,9,FALSE),"")</f>
        <v>4.0000000000000001E-3</v>
      </c>
      <c r="C55" s="36">
        <v>0.8</v>
      </c>
      <c r="D55" s="34">
        <f t="shared" si="8"/>
        <v>3.2000000000000002E-3</v>
      </c>
      <c r="E55" s="33" t="s">
        <v>272</v>
      </c>
      <c r="F55" s="32">
        <f>IFERROR(VLOOKUP(E55,'TARIFS 12 2025'!B10:J502,9,FALSE),"")</f>
        <v>4.0000000000000001E-3</v>
      </c>
      <c r="G55" s="36">
        <v>0.8</v>
      </c>
      <c r="H55" s="34">
        <f t="shared" si="9"/>
        <v>3.2000000000000002E-3</v>
      </c>
      <c r="I55" s="33"/>
      <c r="J55" s="32" t="str">
        <f>IFERROR(VLOOKUP(I55,'TARIFS 12 2025'!B32:J520,9,FALSE),"")</f>
        <v/>
      </c>
      <c r="K55" s="36"/>
      <c r="L55" s="34"/>
      <c r="M55" s="33"/>
      <c r="N55" s="32" t="str">
        <f>IFERROR(VLOOKUP(M55,'TARIFS 12 2025'!B32:J530,9,FALSE),"")</f>
        <v/>
      </c>
      <c r="O55" s="36"/>
      <c r="P55" s="34" t="e">
        <f t="shared" si="10"/>
        <v>#VALUE!</v>
      </c>
    </row>
    <row r="56" spans="1:16" x14ac:dyDescent="0.25">
      <c r="A56" s="33" t="s">
        <v>453</v>
      </c>
      <c r="B56" s="32">
        <f>IFERROR(VLOOKUP(A56,'TARIFS 12 2025'!B59:J515,9,FALSE),"")</f>
        <v>3.99</v>
      </c>
      <c r="C56" s="36">
        <v>0.06</v>
      </c>
      <c r="D56" s="34">
        <f t="shared" si="8"/>
        <v>0.2394</v>
      </c>
      <c r="E56" s="33" t="s">
        <v>453</v>
      </c>
      <c r="F56" s="32">
        <f>IFERROR(VLOOKUP(E56,'TARIFS 12 2025'!B11:J503,9,FALSE),"")</f>
        <v>3.99</v>
      </c>
      <c r="G56" s="36">
        <v>0.06</v>
      </c>
      <c r="H56" s="34">
        <f t="shared" si="9"/>
        <v>0.2394</v>
      </c>
      <c r="I56" s="33"/>
      <c r="J56" s="32" t="str">
        <f>IFERROR(VLOOKUP(I56,'TARIFS 12 2025'!B33:J521,9,FALSE),"")</f>
        <v/>
      </c>
      <c r="K56" s="36"/>
      <c r="L56" s="34"/>
      <c r="M56" s="33"/>
      <c r="N56" s="32" t="str">
        <f>IFERROR(VLOOKUP(M56,'TARIFS 12 2025'!B33:J531,9,FALSE),"")</f>
        <v/>
      </c>
      <c r="O56" s="36"/>
      <c r="P56" s="34" t="e">
        <f t="shared" si="10"/>
        <v>#VALUE!</v>
      </c>
    </row>
    <row r="57" spans="1:16" x14ac:dyDescent="0.25">
      <c r="A57" s="33" t="s">
        <v>549</v>
      </c>
      <c r="B57" s="32">
        <f>IFERROR(VLOOKUP(A57,'TARIFS 12 2025'!B60:J516,9,FALSE),"")</f>
        <v>0.47273529411764703</v>
      </c>
      <c r="C57" s="36">
        <v>0.5</v>
      </c>
      <c r="D57" s="34">
        <f t="shared" si="8"/>
        <v>0.23636764705882352</v>
      </c>
      <c r="E57" s="33" t="s">
        <v>549</v>
      </c>
      <c r="F57" s="32">
        <f>IFERROR(VLOOKUP(E57,'TARIFS 12 2025'!B12:J504,9,FALSE),"")</f>
        <v>0.47273529411764703</v>
      </c>
      <c r="G57" s="36">
        <v>0.5</v>
      </c>
      <c r="H57" s="34">
        <f t="shared" si="9"/>
        <v>0.23636764705882352</v>
      </c>
      <c r="I57" s="33"/>
      <c r="J57" s="32" t="str">
        <f>IFERROR(VLOOKUP(I57,'TARIFS 12 2025'!B34:J522,9,FALSE),"")</f>
        <v/>
      </c>
      <c r="K57" s="36"/>
      <c r="L57" s="34"/>
      <c r="M57" s="33"/>
      <c r="N57" s="32"/>
      <c r="O57" s="36"/>
      <c r="P57" s="34"/>
    </row>
    <row r="58" spans="1:16" x14ac:dyDescent="0.25">
      <c r="A58" s="33" t="s">
        <v>498</v>
      </c>
      <c r="B58" s="32">
        <f>IFERROR(VLOOKUP(A58,'TARIFS 12 2025'!B61:J517,9,FALSE),"")</f>
        <v>2.72</v>
      </c>
      <c r="C58" s="36">
        <v>2.2000000000000002</v>
      </c>
      <c r="D58" s="34">
        <f t="shared" si="8"/>
        <v>5.9840000000000009</v>
      </c>
      <c r="E58" s="33" t="s">
        <v>498</v>
      </c>
      <c r="F58" s="32">
        <f>IFERROR(VLOOKUP(E58,'TARIFS 12 2025'!B13:J505,9,FALSE),"")</f>
        <v>2.72</v>
      </c>
      <c r="G58" s="36">
        <v>2.2000000000000002</v>
      </c>
      <c r="H58" s="34">
        <f t="shared" si="9"/>
        <v>5.9840000000000009</v>
      </c>
      <c r="I58" s="33"/>
      <c r="J58" s="32" t="str">
        <f>IFERROR(VLOOKUP(I58,'TARIFS 12 2025'!F35:N525,9,FALSE),"")</f>
        <v/>
      </c>
      <c r="K58" s="36"/>
      <c r="L58" s="34"/>
      <c r="M58" s="33"/>
      <c r="N58" s="32" t="str">
        <f>IFERROR(VLOOKUP(M58,'TARIFS 12 2025'!J35:R525,9,FALSE),"")</f>
        <v/>
      </c>
      <c r="O58" s="36"/>
      <c r="P58" s="34"/>
    </row>
    <row r="59" spans="1:16" x14ac:dyDescent="0.25">
      <c r="A59" s="33" t="s">
        <v>247</v>
      </c>
      <c r="B59" s="32">
        <f>IFERROR(VLOOKUP(A59,'TARIFS 12 2025'!B36:J558,9,FALSE),"")</f>
        <v>0.97750000000000004</v>
      </c>
      <c r="C59" s="36">
        <v>0.5</v>
      </c>
      <c r="D59" s="34">
        <f t="shared" si="8"/>
        <v>0.48875000000000002</v>
      </c>
      <c r="E59" s="33" t="s">
        <v>247</v>
      </c>
      <c r="F59" s="32">
        <f>IFERROR(VLOOKUP(E59,'TARIFS 12 2025'!B14:J506,9,FALSE),"")</f>
        <v>0.97750000000000004</v>
      </c>
      <c r="G59" s="36">
        <v>1</v>
      </c>
      <c r="H59" s="34">
        <f t="shared" si="9"/>
        <v>0.97750000000000004</v>
      </c>
      <c r="I59" s="33"/>
      <c r="J59" s="32"/>
      <c r="K59" s="36"/>
      <c r="L59" s="34"/>
      <c r="M59" s="33"/>
      <c r="N59" s="32"/>
      <c r="O59" s="36"/>
      <c r="P59" s="34"/>
    </row>
    <row r="60" spans="1:16" x14ac:dyDescent="0.25">
      <c r="A60" s="33" t="s">
        <v>270</v>
      </c>
      <c r="B60" s="32">
        <f>IFERROR(VLOOKUP(A60,'TARIFS 12 2025'!B36:J558,9,FALSE),"")</f>
        <v>5.95</v>
      </c>
      <c r="C60" s="36">
        <v>0.5</v>
      </c>
      <c r="D60" s="34">
        <f t="shared" si="8"/>
        <v>2.9750000000000001</v>
      </c>
      <c r="E60" s="33" t="s">
        <v>721</v>
      </c>
      <c r="F60" s="32">
        <f>IFERROR(VLOOKUP(E60,'TARIFS 12 2025'!B15:J507,9,FALSE),"")</f>
        <v>3.25</v>
      </c>
      <c r="G60" s="36">
        <v>6.7000000000000004E-2</v>
      </c>
      <c r="H60" s="34">
        <f t="shared" si="9"/>
        <v>0.21775</v>
      </c>
      <c r="I60" s="33"/>
      <c r="J60" s="32" t="str">
        <f>IFERROR(VLOOKUP(I60,'TARIFS 12 2025'!F36:N526,9,FALSE),"")</f>
        <v/>
      </c>
      <c r="K60" s="36"/>
      <c r="L60" s="34"/>
      <c r="M60" s="33"/>
      <c r="N60" s="32" t="str">
        <f>IFERROR(VLOOKUP(M60,'TARIFS 12 2025'!J36:R526,9,FALSE),"")</f>
        <v/>
      </c>
      <c r="O60" s="36"/>
      <c r="P60" s="34"/>
    </row>
    <row r="61" spans="1:16" x14ac:dyDescent="0.25">
      <c r="A61" s="24"/>
      <c r="C61">
        <f>SUM(C48:C60)</f>
        <v>8.0760000000000005</v>
      </c>
      <c r="D61" s="25"/>
      <c r="E61" s="24"/>
      <c r="G61">
        <f>SUM(G48:G60)</f>
        <v>8.1430000000000007</v>
      </c>
      <c r="H61" s="25"/>
      <c r="I61" s="24"/>
      <c r="L61" s="25"/>
      <c r="M61" s="24"/>
      <c r="P61" s="25"/>
    </row>
    <row r="62" spans="1:16" x14ac:dyDescent="0.25">
      <c r="A62" s="24"/>
      <c r="C62" t="s">
        <v>947</v>
      </c>
      <c r="D62" s="26">
        <f>+SUM(D48:D60)</f>
        <v>22.442557647058827</v>
      </c>
      <c r="E62" s="24"/>
      <c r="G62" t="s">
        <v>948</v>
      </c>
      <c r="H62" s="26">
        <f>+SUM(H48:H60)</f>
        <v>20.174057647058824</v>
      </c>
      <c r="I62" s="24"/>
      <c r="K62" t="s">
        <v>953</v>
      </c>
      <c r="L62" s="26">
        <f>+SUM(L48:L60)</f>
        <v>0</v>
      </c>
      <c r="M62" s="24"/>
      <c r="O62" t="s">
        <v>950</v>
      </c>
      <c r="P62" s="26" t="e">
        <f>+SUM(P48:P60)</f>
        <v>#VALUE!</v>
      </c>
    </row>
    <row r="63" spans="1:16" x14ac:dyDescent="0.25">
      <c r="A63" s="24"/>
      <c r="C63" t="s">
        <v>939</v>
      </c>
      <c r="D63" s="27">
        <f>0.13*D62/C61</f>
        <v>0.36125959560644472</v>
      </c>
      <c r="E63" s="24"/>
      <c r="G63" t="s">
        <v>939</v>
      </c>
      <c r="H63" s="27">
        <f>0.12*H62/G61</f>
        <v>0.29729668643584162</v>
      </c>
      <c r="I63" s="24"/>
      <c r="K63" t="s">
        <v>939</v>
      </c>
      <c r="L63" s="27">
        <f>+L62/50</f>
        <v>0</v>
      </c>
      <c r="M63" s="24"/>
      <c r="O63" t="s">
        <v>939</v>
      </c>
      <c r="P63" s="27" t="e">
        <f>+P62/112</f>
        <v>#VALUE!</v>
      </c>
    </row>
    <row r="64" spans="1:16" x14ac:dyDescent="0.25">
      <c r="A64" s="24"/>
      <c r="C64" t="s">
        <v>940</v>
      </c>
      <c r="D64" s="25">
        <v>1.8</v>
      </c>
      <c r="E64" s="24"/>
      <c r="G64" t="s">
        <v>940</v>
      </c>
      <c r="H64" s="25">
        <v>1.8</v>
      </c>
      <c r="I64" s="24"/>
      <c r="K64" t="s">
        <v>940</v>
      </c>
      <c r="L64" s="25">
        <v>1.8</v>
      </c>
      <c r="M64" s="24"/>
      <c r="O64" t="s">
        <v>940</v>
      </c>
      <c r="P64" s="25">
        <v>1.8</v>
      </c>
    </row>
    <row r="65" spans="1:16" x14ac:dyDescent="0.25">
      <c r="A65" s="24"/>
      <c r="C65" t="s">
        <v>941</v>
      </c>
      <c r="D65" s="27">
        <f>D64/(1+5.5/100)</f>
        <v>1.7061611374407584</v>
      </c>
      <c r="E65" s="24"/>
      <c r="G65" t="s">
        <v>941</v>
      </c>
      <c r="H65" s="27">
        <f>H64/(1+5.5/100)</f>
        <v>1.7061611374407584</v>
      </c>
      <c r="I65" s="24"/>
      <c r="K65" t="s">
        <v>941</v>
      </c>
      <c r="L65" s="27">
        <f>L64/(1+5.5/100)</f>
        <v>1.7061611374407584</v>
      </c>
      <c r="M65" s="24"/>
      <c r="O65" t="s">
        <v>941</v>
      </c>
      <c r="P65" s="27">
        <f>P64/(1+5.5/100)</f>
        <v>1.7061611374407584</v>
      </c>
    </row>
    <row r="66" spans="1:16" ht="15.75" x14ac:dyDescent="0.25">
      <c r="A66" s="24"/>
      <c r="C66" t="s">
        <v>942</v>
      </c>
      <c r="D66" s="31">
        <f>+D65/D63</f>
        <v>4.7228119562516646</v>
      </c>
      <c r="E66" s="24"/>
      <c r="G66" t="s">
        <v>942</v>
      </c>
      <c r="H66" s="31">
        <f>+H65/H63</f>
        <v>5.7389174359632769</v>
      </c>
      <c r="I66" s="24"/>
      <c r="K66" t="s">
        <v>942</v>
      </c>
      <c r="L66" s="31" t="e">
        <f>+L65/L63</f>
        <v>#DIV/0!</v>
      </c>
      <c r="M66" s="24"/>
      <c r="O66" t="s">
        <v>942</v>
      </c>
      <c r="P66" s="31" t="e">
        <f>+P65/P63</f>
        <v>#VALUE!</v>
      </c>
    </row>
    <row r="67" spans="1:16" ht="15.75" thickBot="1" x14ac:dyDescent="0.3">
      <c r="A67" s="28"/>
      <c r="B67" s="29"/>
      <c r="C67" s="29" t="s">
        <v>0</v>
      </c>
      <c r="D67" s="30">
        <f>(D65-D63)*100/D65</f>
        <v>78.826173701955597</v>
      </c>
      <c r="E67" s="28"/>
      <c r="F67" s="29"/>
      <c r="G67" s="29" t="s">
        <v>0</v>
      </c>
      <c r="H67" s="30">
        <f>(H65-H63)*100/H65</f>
        <v>82.575110878343736</v>
      </c>
      <c r="I67" s="28"/>
      <c r="J67" s="29"/>
      <c r="K67" s="29" t="s">
        <v>0</v>
      </c>
      <c r="L67" s="30">
        <f>(L65-L63)*100/L65</f>
        <v>100</v>
      </c>
      <c r="M67" s="28"/>
      <c r="N67" s="29"/>
      <c r="O67" s="29" t="s">
        <v>0</v>
      </c>
      <c r="P67" s="30" t="e">
        <f>(P65-P63)*100/P65</f>
        <v>#VALUE!</v>
      </c>
    </row>
  </sheetData>
  <mergeCells count="12">
    <mergeCell ref="A46:D46"/>
    <mergeCell ref="E46:H46"/>
    <mergeCell ref="I46:L46"/>
    <mergeCell ref="M46:P46"/>
    <mergeCell ref="A2:D2"/>
    <mergeCell ref="E2:H2"/>
    <mergeCell ref="I2:L2"/>
    <mergeCell ref="M2:P2"/>
    <mergeCell ref="A24:D24"/>
    <mergeCell ref="E24:H24"/>
    <mergeCell ref="I24:L24"/>
    <mergeCell ref="M24:P24"/>
  </mergeCells>
  <phoneticPr fontId="7" type="noConversion"/>
  <conditionalFormatting sqref="D21 H21 L21 P21 B43 D43 H43 L43 P43 D66 H66 L66 P66">
    <cfRule type="cellIs" dxfId="218" priority="1" operator="greaterThan">
      <formula>$B$1</formula>
    </cfRule>
    <cfRule type="cellIs" dxfId="217" priority="2" operator="between">
      <formula>$B$1/2</formula>
      <formula>$B$1</formula>
    </cfRule>
    <cfRule type="cellIs" dxfId="216" priority="3" operator="lessThan">
      <formula>$B$1/2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1B2E228-683F-4993-97CD-478C7A66199C}">
          <x14:formula1>
            <xm:f>'TARIFS 12 2025'!$B:$B</xm:f>
          </x14:formula1>
          <xm:sqref>A4:A15 E48:E60 I48:I60 A48:A60 M48:M60 M26:M37 I26:I37 E26:E37 A26:A37 M4:M15 I4:I15 E4:E15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7459-1965-49EA-A7CD-D4443710BEF4}">
  <sheetPr codeName="Feuil5">
    <tabColor theme="5" tint="0.59999389629810485"/>
  </sheetPr>
  <dimension ref="A1:Q86"/>
  <sheetViews>
    <sheetView topLeftCell="C1" zoomScale="90" zoomScaleNormal="90" workbookViewId="0">
      <selection activeCell="O55" sqref="O55"/>
    </sheetView>
  </sheetViews>
  <sheetFormatPr baseColWidth="10" defaultColWidth="10.7109375" defaultRowHeight="15" x14ac:dyDescent="0.25"/>
  <cols>
    <col min="1" max="1" width="33.7109375" customWidth="1"/>
    <col min="3" max="3" width="14.5703125" bestFit="1" customWidth="1"/>
    <col min="4" max="4" width="11.42578125" customWidth="1"/>
    <col min="5" max="5" width="33.7109375" customWidth="1"/>
    <col min="9" max="9" width="33.7109375" customWidth="1"/>
    <col min="13" max="13" width="33.7109375" customWidth="1"/>
  </cols>
  <sheetData>
    <row r="1" spans="1:16" ht="15.75" thickBot="1" x14ac:dyDescent="0.3">
      <c r="A1" s="39" t="s">
        <v>928</v>
      </c>
      <c r="B1" s="40">
        <v>4</v>
      </c>
    </row>
    <row r="2" spans="1:16" ht="22.5" customHeight="1" thickBot="1" x14ac:dyDescent="0.3">
      <c r="A2" s="174" t="s">
        <v>954</v>
      </c>
      <c r="B2" s="175"/>
      <c r="C2" s="175"/>
      <c r="D2" s="176"/>
      <c r="E2" s="174" t="s">
        <v>955</v>
      </c>
      <c r="F2" s="175"/>
      <c r="G2" s="175"/>
      <c r="H2" s="176"/>
      <c r="I2" s="174" t="s">
        <v>956</v>
      </c>
      <c r="J2" s="175"/>
      <c r="K2" s="175"/>
      <c r="L2" s="176"/>
      <c r="M2" s="174" t="s">
        <v>957</v>
      </c>
      <c r="N2" s="175"/>
      <c r="O2" s="175"/>
      <c r="P2" s="176"/>
    </row>
    <row r="3" spans="1:16" x14ac:dyDescent="0.25">
      <c r="A3" s="37"/>
      <c r="B3" s="6" t="s">
        <v>933</v>
      </c>
      <c r="C3" s="6" t="s">
        <v>934</v>
      </c>
      <c r="D3" s="38"/>
      <c r="E3" s="37"/>
      <c r="F3" s="6" t="s">
        <v>933</v>
      </c>
      <c r="G3" s="6" t="s">
        <v>934</v>
      </c>
      <c r="H3" s="38"/>
      <c r="I3" s="37"/>
      <c r="J3" s="6" t="s">
        <v>933</v>
      </c>
      <c r="K3" s="6" t="s">
        <v>934</v>
      </c>
      <c r="L3" s="38"/>
      <c r="M3" s="37"/>
      <c r="N3" s="6" t="s">
        <v>933</v>
      </c>
      <c r="O3" s="6" t="s">
        <v>934</v>
      </c>
      <c r="P3" s="38"/>
    </row>
    <row r="4" spans="1:16" x14ac:dyDescent="0.25">
      <c r="A4" s="33" t="s">
        <v>318</v>
      </c>
      <c r="B4" s="32">
        <f>IFERROR(VLOOKUP(A4,'TARIFS 12 2025'!B3:J461,9,FALSE),"")</f>
        <v>1.05</v>
      </c>
      <c r="C4" s="36">
        <v>2.35</v>
      </c>
      <c r="D4" s="34">
        <f>+C4*B4</f>
        <v>2.4675000000000002</v>
      </c>
      <c r="E4" s="33" t="s">
        <v>318</v>
      </c>
      <c r="F4" s="32">
        <f>IFERROR(VLOOKUP(E4,'TARIFS 12 2025'!B3:J466,9,FALSE),"")</f>
        <v>1.05</v>
      </c>
      <c r="G4" s="36">
        <v>9</v>
      </c>
      <c r="H4" s="34">
        <f>+G4*F4</f>
        <v>9.4500000000000011</v>
      </c>
      <c r="I4" s="33" t="s">
        <v>69</v>
      </c>
      <c r="J4" s="32">
        <f>IFERROR(VLOOKUP(I4,'TARIFS 12 2025'!B3:J502,9,FALSE),"")</f>
        <v>4.8</v>
      </c>
      <c r="K4" s="36">
        <v>4</v>
      </c>
      <c r="L4" s="34">
        <f>+K4*J4</f>
        <v>19.2</v>
      </c>
      <c r="M4" s="33" t="s">
        <v>69</v>
      </c>
      <c r="N4" s="32">
        <f>IFERROR(VLOOKUP(M4,'TARIFS 12 2025'!B3:J510,9,FALSE),"")</f>
        <v>4.8</v>
      </c>
      <c r="O4" s="36">
        <v>1</v>
      </c>
      <c r="P4" s="34">
        <f>+O4*N4</f>
        <v>4.8</v>
      </c>
    </row>
    <row r="5" spans="1:16" x14ac:dyDescent="0.25">
      <c r="A5" s="33" t="s">
        <v>272</v>
      </c>
      <c r="B5" s="32">
        <f>IFERROR(VLOOKUP(A5,'TARIFS 12 2025'!B4:J461,9,FALSE),"")</f>
        <v>4.0000000000000001E-3</v>
      </c>
      <c r="C5" s="36">
        <v>1.05</v>
      </c>
      <c r="D5" s="34">
        <f t="shared" ref="D5:D11" si="0">+C5*B5</f>
        <v>4.2000000000000006E-3</v>
      </c>
      <c r="E5" s="33" t="s">
        <v>272</v>
      </c>
      <c r="F5" s="32">
        <f>IFERROR(VLOOKUP(E5,'TARIFS 12 2025'!B4:J469,9,FALSE),"")</f>
        <v>4.0000000000000001E-3</v>
      </c>
      <c r="G5" s="36">
        <v>4</v>
      </c>
      <c r="H5" s="34">
        <f t="shared" ref="H5:H10" si="1">+G5*F5</f>
        <v>1.6E-2</v>
      </c>
      <c r="I5" s="33" t="s">
        <v>854</v>
      </c>
      <c r="J5" s="32">
        <f>IFERROR(VLOOKUP(I5,'TARIFS 12 2025'!B4:J503,9,FALSE),"")</f>
        <v>0.86</v>
      </c>
      <c r="K5" s="36">
        <v>4</v>
      </c>
      <c r="L5" s="34">
        <f t="shared" ref="L5:L9" si="2">+K5*J5</f>
        <v>3.44</v>
      </c>
      <c r="M5" s="33" t="s">
        <v>854</v>
      </c>
      <c r="N5" s="32">
        <f>IFERROR(VLOOKUP(M5,'TARIFS 12 2025'!B4:J511,9,FALSE),"")</f>
        <v>0.86</v>
      </c>
      <c r="O5" s="36">
        <v>2.5</v>
      </c>
      <c r="P5" s="34">
        <f t="shared" ref="P5:P10" si="3">+O5*N5</f>
        <v>2.15</v>
      </c>
    </row>
    <row r="6" spans="1:16" x14ac:dyDescent="0.25">
      <c r="A6" s="33" t="s">
        <v>675</v>
      </c>
      <c r="B6" s="32">
        <f>IFERROR(VLOOKUP(A6,'TARIFS 12 2025'!B5:J462,9,FALSE),"")</f>
        <v>5.16</v>
      </c>
      <c r="C6" s="36">
        <v>0.12</v>
      </c>
      <c r="D6" s="34">
        <f t="shared" si="0"/>
        <v>0.61919999999999997</v>
      </c>
      <c r="E6" s="33" t="s">
        <v>831</v>
      </c>
      <c r="F6" s="32">
        <f>IFERROR(VLOOKUP(E6,'TARIFS 12 2025'!B5:J470,9,FALSE),"")</f>
        <v>0.27</v>
      </c>
      <c r="G6" s="36">
        <v>0.18</v>
      </c>
      <c r="H6" s="34">
        <f t="shared" si="1"/>
        <v>4.8600000000000004E-2</v>
      </c>
      <c r="I6" s="33" t="s">
        <v>498</v>
      </c>
      <c r="J6" s="32">
        <f>IFERROR(VLOOKUP(I6,'TARIFS 12 2025'!B5:J504,9,FALSE),"")</f>
        <v>2.72</v>
      </c>
      <c r="K6" s="36">
        <v>30</v>
      </c>
      <c r="L6" s="34">
        <f t="shared" si="2"/>
        <v>81.600000000000009</v>
      </c>
      <c r="M6" s="33" t="s">
        <v>498</v>
      </c>
      <c r="N6" s="32">
        <f>IFERROR(VLOOKUP(M6,'TARIFS 12 2025'!B5:J512,9,FALSE),"")</f>
        <v>2.72</v>
      </c>
      <c r="O6" s="36">
        <f>15*0.055</f>
        <v>0.82499999999999996</v>
      </c>
      <c r="P6" s="34">
        <f t="shared" si="3"/>
        <v>2.2440000000000002</v>
      </c>
    </row>
    <row r="7" spans="1:16" x14ac:dyDescent="0.25">
      <c r="A7" s="33" t="s">
        <v>831</v>
      </c>
      <c r="B7" s="32">
        <f>IFERROR(VLOOKUP(A7,'TARIFS 12 2025'!B6:J463,9,FALSE),"")</f>
        <v>0.27</v>
      </c>
      <c r="C7" s="36">
        <v>3.5000000000000003E-2</v>
      </c>
      <c r="D7" s="34">
        <f t="shared" si="0"/>
        <v>9.4500000000000018E-3</v>
      </c>
      <c r="E7" s="33" t="s">
        <v>436</v>
      </c>
      <c r="F7" s="32">
        <f>IFERROR(VLOOKUP(E7,'TARIFS 12 2025'!B6:J471,9,FALSE),"")</f>
        <v>3.45</v>
      </c>
      <c r="G7" s="36">
        <v>0.35</v>
      </c>
      <c r="H7" s="34">
        <f t="shared" si="1"/>
        <v>1.2075</v>
      </c>
      <c r="I7" s="33" t="s">
        <v>432</v>
      </c>
      <c r="J7" s="32">
        <f>IFERROR(VLOOKUP(I7,'TARIFS 12 2025'!B6:J505,9,FALSE),"")</f>
        <v>4.6900000000000004</v>
      </c>
      <c r="K7" s="36">
        <v>0.16</v>
      </c>
      <c r="L7" s="34">
        <f t="shared" si="2"/>
        <v>0.75040000000000007</v>
      </c>
      <c r="M7" s="33" t="s">
        <v>432</v>
      </c>
      <c r="N7" s="32">
        <f>IFERROR(VLOOKUP(M7,'TARIFS 12 2025'!B6:J513,9,FALSE),"")</f>
        <v>4.6900000000000004</v>
      </c>
      <c r="O7" s="36">
        <v>0.08</v>
      </c>
      <c r="P7" s="34">
        <f t="shared" si="3"/>
        <v>0.37520000000000003</v>
      </c>
    </row>
    <row r="8" spans="1:16" x14ac:dyDescent="0.25">
      <c r="A8" s="33" t="s">
        <v>436</v>
      </c>
      <c r="B8" s="32">
        <f>IFERROR(VLOOKUP(A8,'TARIFS 12 2025'!B7:J463,9,FALSE),"")</f>
        <v>3.45</v>
      </c>
      <c r="C8" s="36">
        <v>7.0000000000000007E-2</v>
      </c>
      <c r="D8" s="34">
        <f t="shared" si="0"/>
        <v>0.24150000000000005</v>
      </c>
      <c r="E8" s="33" t="s">
        <v>854</v>
      </c>
      <c r="F8" s="32">
        <f>IFERROR(VLOOKUP(E8,'TARIFS 12 2025'!B7:J472,9,FALSE),"")</f>
        <v>0.86</v>
      </c>
      <c r="G8" s="36">
        <v>0.8</v>
      </c>
      <c r="H8" s="34">
        <f t="shared" si="1"/>
        <v>0.68800000000000006</v>
      </c>
      <c r="I8" s="33" t="s">
        <v>318</v>
      </c>
      <c r="J8" s="32">
        <f>IFERROR(VLOOKUP(I8,'TARIFS 12 2025'!B7:J506,9,FALSE),"")</f>
        <v>1.05</v>
      </c>
      <c r="K8" s="36">
        <v>8</v>
      </c>
      <c r="L8" s="34">
        <f t="shared" si="2"/>
        <v>8.4</v>
      </c>
      <c r="M8" s="33" t="s">
        <v>318</v>
      </c>
      <c r="N8" s="32">
        <f>IFERROR(VLOOKUP(M8,'TARIFS 12 2025'!B7:J514,9,FALSE),"")</f>
        <v>1.05</v>
      </c>
      <c r="O8" s="36">
        <v>4</v>
      </c>
      <c r="P8" s="34">
        <f t="shared" si="3"/>
        <v>4.2</v>
      </c>
    </row>
    <row r="9" spans="1:16" x14ac:dyDescent="0.25">
      <c r="A9" s="33" t="s">
        <v>854</v>
      </c>
      <c r="B9" s="32">
        <f>IFERROR(VLOOKUP(A9,'TARIFS 12 2025'!B8:J464,9,FALSE),"")</f>
        <v>0.86</v>
      </c>
      <c r="C9" s="36">
        <v>0.18</v>
      </c>
      <c r="D9" s="34">
        <f t="shared" si="0"/>
        <v>0.15479999999999999</v>
      </c>
      <c r="E9" s="33" t="s">
        <v>69</v>
      </c>
      <c r="F9" s="32">
        <f>IFERROR(VLOOKUP(E9,'TARIFS 12 2025'!B8:J473,9,FALSE),"")</f>
        <v>4.8</v>
      </c>
      <c r="G9" s="36">
        <v>1</v>
      </c>
      <c r="H9" s="34">
        <f t="shared" si="1"/>
        <v>4.8</v>
      </c>
      <c r="I9" s="33" t="s">
        <v>831</v>
      </c>
      <c r="J9" s="32">
        <f>IFERROR(VLOOKUP(I9,'TARIFS 12 2025'!B8:J507,9,FALSE),"")</f>
        <v>0.27</v>
      </c>
      <c r="K9" s="36">
        <v>0.08</v>
      </c>
      <c r="L9" s="34">
        <f t="shared" si="2"/>
        <v>2.1600000000000001E-2</v>
      </c>
      <c r="M9" s="33" t="s">
        <v>831</v>
      </c>
      <c r="N9" s="32">
        <f>IFERROR(VLOOKUP(M9,'TARIFS 12 2025'!B8:J515,9,FALSE),"")</f>
        <v>0.27</v>
      </c>
      <c r="O9" s="36">
        <v>0.04</v>
      </c>
      <c r="P9" s="34">
        <f t="shared" si="3"/>
        <v>1.0800000000000001E-2</v>
      </c>
    </row>
    <row r="10" spans="1:16" x14ac:dyDescent="0.25">
      <c r="A10" s="33" t="s">
        <v>399</v>
      </c>
      <c r="B10" s="32">
        <f>IFERROR(VLOOKUP(A10,'TARIFS 12 2025'!B9:J465,9,FALSE),"")</f>
        <v>1.8</v>
      </c>
      <c r="C10" s="36">
        <v>0.35</v>
      </c>
      <c r="D10" s="34">
        <f t="shared" si="0"/>
        <v>0.63</v>
      </c>
      <c r="E10" s="33" t="s">
        <v>898</v>
      </c>
      <c r="F10" s="32">
        <v>2.19</v>
      </c>
      <c r="G10" s="36">
        <v>0.35</v>
      </c>
      <c r="H10" s="34">
        <f t="shared" si="1"/>
        <v>0.76649999999999996</v>
      </c>
      <c r="I10" s="33"/>
      <c r="J10" s="32" t="str">
        <f>IFERROR(VLOOKUP(I10,'TARIFS 12 2025'!B9:J508,9,FALSE),"")</f>
        <v/>
      </c>
      <c r="K10" s="36"/>
      <c r="L10" s="34"/>
      <c r="M10" s="33" t="s">
        <v>444</v>
      </c>
      <c r="N10" s="32">
        <f>IFERROR(VLOOKUP(M10,'TARIFS 12 2025'!B9:J516,9,FALSE),"")</f>
        <v>2.5</v>
      </c>
      <c r="O10" s="36">
        <v>1</v>
      </c>
      <c r="P10" s="34">
        <f t="shared" si="3"/>
        <v>2.5</v>
      </c>
    </row>
    <row r="11" spans="1:16" x14ac:dyDescent="0.25">
      <c r="A11" s="33" t="s">
        <v>498</v>
      </c>
      <c r="B11" s="32">
        <f>IFERROR(VLOOKUP(A11,'TARIFS 12 2025'!B10:J466,9,FALSE),"")</f>
        <v>2.72</v>
      </c>
      <c r="C11" s="36">
        <v>0.22</v>
      </c>
      <c r="D11" s="34">
        <f t="shared" si="0"/>
        <v>0.59840000000000004</v>
      </c>
      <c r="E11" s="33"/>
      <c r="F11" s="32" t="str">
        <f>IFERROR(VLOOKUP(E11,'TARIFS 12 2025'!B10:J475,9,FALSE),"")</f>
        <v/>
      </c>
      <c r="G11" s="36"/>
      <c r="H11" s="34"/>
      <c r="I11" s="33"/>
      <c r="J11" s="32" t="str">
        <f>IFERROR(VLOOKUP(I11,'TARIFS 12 2025'!B10:J509,9,FALSE),"")</f>
        <v/>
      </c>
      <c r="K11" s="36"/>
      <c r="L11" s="34"/>
      <c r="M11" s="33"/>
      <c r="N11" s="32" t="str">
        <f>IFERROR(VLOOKUP(M11,'TARIFS 12 2025'!B10:J517,9,FALSE),"")</f>
        <v/>
      </c>
      <c r="O11" s="36"/>
      <c r="P11" s="34"/>
    </row>
    <row r="12" spans="1:16" x14ac:dyDescent="0.25">
      <c r="A12" s="33"/>
      <c r="B12" s="32" t="str">
        <f>IFERROR(VLOOKUP(A12,'TARIFS 12 2025'!B11:J469,9,FALSE),"")</f>
        <v/>
      </c>
      <c r="C12" s="36"/>
      <c r="D12" s="34"/>
      <c r="E12" s="33"/>
      <c r="F12" s="32" t="str">
        <f>IFERROR(VLOOKUP(E12,'TARIFS 12 2025'!B11:J476,9,FALSE),"")</f>
        <v/>
      </c>
      <c r="G12" s="36"/>
      <c r="H12" s="34"/>
      <c r="I12" s="33"/>
      <c r="J12" s="32" t="str">
        <f>IFERROR(VLOOKUP(I12,'TARIFS 12 2025'!B11:J510,9,FALSE),"")</f>
        <v/>
      </c>
      <c r="K12" s="36"/>
      <c r="L12" s="34"/>
      <c r="M12" s="33"/>
      <c r="N12" s="32" t="str">
        <f>IFERROR(VLOOKUP(M12,'TARIFS 12 2025'!B11:J518,9,FALSE),"")</f>
        <v/>
      </c>
      <c r="O12" s="36"/>
      <c r="P12" s="34"/>
    </row>
    <row r="13" spans="1:16" x14ac:dyDescent="0.25">
      <c r="A13" s="33"/>
      <c r="B13" s="32" t="str">
        <f>IFERROR(VLOOKUP(A13,'TARIFS 12 2025'!B12:J470,9,FALSE),"")</f>
        <v/>
      </c>
      <c r="C13" s="36"/>
      <c r="D13" s="34"/>
      <c r="E13" s="33"/>
      <c r="F13" s="32" t="str">
        <f>IFERROR(VLOOKUP(E13,'TARIFS 12 2025'!B12:J477,9,FALSE),"")</f>
        <v/>
      </c>
      <c r="G13" s="36"/>
      <c r="H13" s="34"/>
      <c r="I13" s="33"/>
      <c r="J13" s="32" t="str">
        <f>IFERROR(VLOOKUP(I13,'TARIFS 12 2025'!B12:J511,9,FALSE),"")</f>
        <v/>
      </c>
      <c r="K13" s="36"/>
      <c r="L13" s="34"/>
      <c r="M13" s="33"/>
      <c r="N13" s="32" t="str">
        <f>IFERROR(VLOOKUP(M13,'TARIFS 12 2025'!B12:J519,9,FALSE),"")</f>
        <v/>
      </c>
      <c r="O13" s="36"/>
      <c r="P13" s="34"/>
    </row>
    <row r="14" spans="1:16" x14ac:dyDescent="0.25">
      <c r="A14" s="33"/>
      <c r="B14" s="32" t="str">
        <f>IFERROR(VLOOKUP(A14,'TARIFS 12 2025'!B13:J471,9,FALSE),"")</f>
        <v/>
      </c>
      <c r="C14" s="36"/>
      <c r="D14" s="34"/>
      <c r="E14" s="33"/>
      <c r="F14" s="32" t="str">
        <f>IFERROR(VLOOKUP(E14,'TARIFS 12 2025'!B13:J478,9,FALSE),"")</f>
        <v/>
      </c>
      <c r="G14" s="36"/>
      <c r="H14" s="34"/>
      <c r="I14" s="33"/>
      <c r="J14" s="32" t="str">
        <f>IFERROR(VLOOKUP(I14,'TARIFS 12 2025'!B13:J512,9,FALSE),"")</f>
        <v/>
      </c>
      <c r="K14" s="36"/>
      <c r="L14" s="34"/>
      <c r="M14" s="33"/>
      <c r="N14" s="32" t="str">
        <f>IFERROR(VLOOKUP(M14,'TARIFS 12 2025'!B13:J520,9,FALSE),"")</f>
        <v/>
      </c>
      <c r="O14" s="36"/>
      <c r="P14" s="34"/>
    </row>
    <row r="15" spans="1:16" x14ac:dyDescent="0.25">
      <c r="A15" s="33"/>
      <c r="B15" s="32"/>
      <c r="C15" s="36"/>
      <c r="D15" s="34"/>
      <c r="E15" s="33"/>
      <c r="F15" s="32" t="str">
        <f>IFERROR(VLOOKUP(E15,'TARIFS 12 2025'!B14:J479,9,FALSE),"")</f>
        <v/>
      </c>
      <c r="G15" s="36"/>
      <c r="H15" s="34"/>
      <c r="I15" s="33"/>
      <c r="J15" s="32" t="str">
        <f>IFERROR(VLOOKUP(I15,'TARIFS 12 2025'!B14:J513,9,FALSE),"")</f>
        <v/>
      </c>
      <c r="K15" s="36"/>
      <c r="L15" s="34"/>
      <c r="M15" s="33"/>
      <c r="N15" s="32" t="str">
        <f>IFERROR(VLOOKUP(M15,'TARIFS 12 2025'!B14:J521,9,FALSE),"")</f>
        <v/>
      </c>
      <c r="O15" s="36"/>
      <c r="P15" s="34"/>
    </row>
    <row r="16" spans="1:16" x14ac:dyDescent="0.25">
      <c r="A16" s="24"/>
      <c r="D16" s="25"/>
      <c r="E16" s="24"/>
      <c r="F16" s="32" t="str">
        <f>IFERROR(VLOOKUP(E16,'TARIFS 12 2025'!B15:J480,9,FALSE),"")</f>
        <v/>
      </c>
      <c r="H16" s="25"/>
      <c r="I16" s="24"/>
      <c r="L16" s="25"/>
      <c r="M16" s="24"/>
      <c r="P16" s="25"/>
    </row>
    <row r="17" spans="1:16" x14ac:dyDescent="0.25">
      <c r="A17" s="24"/>
      <c r="C17" t="s">
        <v>958</v>
      </c>
      <c r="D17" s="26">
        <f>+SUM(D4:D15)</f>
        <v>4.7250500000000004</v>
      </c>
      <c r="E17" s="24"/>
      <c r="F17" s="32" t="str">
        <f>IFERROR(VLOOKUP(E17,'TARIFS 12 2025'!B16:J481,9,FALSE),"")</f>
        <v/>
      </c>
      <c r="G17" t="s">
        <v>959</v>
      </c>
      <c r="H17" s="26">
        <f>+SUM(H4:H15)</f>
        <v>16.976600000000001</v>
      </c>
      <c r="I17" s="24"/>
      <c r="K17" t="s">
        <v>937</v>
      </c>
      <c r="L17" s="26">
        <f>+SUM(L4:L15)</f>
        <v>113.41200000000002</v>
      </c>
      <c r="M17" s="24"/>
      <c r="O17" t="s">
        <v>960</v>
      </c>
      <c r="P17" s="26">
        <f>+SUM(P4:P15)</f>
        <v>16.279999999999998</v>
      </c>
    </row>
    <row r="18" spans="1:16" x14ac:dyDescent="0.25">
      <c r="A18" s="24"/>
      <c r="C18" t="s">
        <v>939</v>
      </c>
      <c r="D18" s="27">
        <f>+D17/40</f>
        <v>0.11812625000000002</v>
      </c>
      <c r="E18" s="24"/>
      <c r="F18" s="32" t="str">
        <f>IFERROR(VLOOKUP(E18,'TARIFS 12 2025'!B17:J482,9,FALSE),"")</f>
        <v/>
      </c>
      <c r="G18" t="s">
        <v>939</v>
      </c>
      <c r="H18" s="27">
        <f>+H17/31.36</f>
        <v>0.5413456632653062</v>
      </c>
      <c r="I18" s="24"/>
      <c r="K18" t="s">
        <v>939</v>
      </c>
      <c r="L18" s="27">
        <f>+L17/4</f>
        <v>28.353000000000005</v>
      </c>
      <c r="M18" s="24"/>
      <c r="O18" t="s">
        <v>939</v>
      </c>
      <c r="P18" s="27">
        <f>+P17/9.44*0.45</f>
        <v>0.77605932203389827</v>
      </c>
    </row>
    <row r="19" spans="1:16" x14ac:dyDescent="0.25">
      <c r="A19" s="24"/>
      <c r="C19" t="s">
        <v>961</v>
      </c>
      <c r="D19" s="26">
        <f>D18/5</f>
        <v>2.3625250000000004E-2</v>
      </c>
      <c r="E19" s="24"/>
      <c r="F19" s="32" t="str">
        <f>IFERROR(VLOOKUP(E19,'TARIFS 12 2025'!B18:J483,9,FALSE),"")</f>
        <v/>
      </c>
      <c r="H19" s="25"/>
      <c r="I19" s="24">
        <v>17890</v>
      </c>
      <c r="L19" s="25"/>
      <c r="M19" s="24">
        <v>9445</v>
      </c>
      <c r="P19" s="26">
        <f>0.05*P18/1</f>
        <v>3.8802966101694918E-2</v>
      </c>
    </row>
    <row r="20" spans="1:16" x14ac:dyDescent="0.25">
      <c r="A20" s="24"/>
      <c r="C20" t="s">
        <v>941</v>
      </c>
      <c r="D20" s="27">
        <v>0.85</v>
      </c>
      <c r="E20" s="24"/>
      <c r="F20" s="32" t="str">
        <f>IFERROR(VLOOKUP(E20,'TARIFS 12 2025'!B19:J484,9,FALSE),"")</f>
        <v/>
      </c>
      <c r="G20" t="s">
        <v>941</v>
      </c>
      <c r="H20" s="27">
        <v>4.25</v>
      </c>
      <c r="I20" s="24"/>
      <c r="K20" t="s">
        <v>941</v>
      </c>
      <c r="L20" s="27">
        <v>6.52</v>
      </c>
      <c r="M20" s="24"/>
      <c r="O20" t="s">
        <v>941</v>
      </c>
      <c r="P20" s="27">
        <v>0.66149999999999998</v>
      </c>
    </row>
    <row r="21" spans="1:16" ht="15.75" x14ac:dyDescent="0.25">
      <c r="A21" s="24"/>
      <c r="C21" t="s">
        <v>942</v>
      </c>
      <c r="D21" s="31">
        <f>+D20/D18</f>
        <v>7.1956910508883496</v>
      </c>
      <c r="E21" s="24"/>
      <c r="F21" s="32" t="str">
        <f>IFERROR(VLOOKUP(E21,'TARIFS 12 2025'!B20:J485,9,FALSE),"")</f>
        <v/>
      </c>
      <c r="G21" t="s">
        <v>942</v>
      </c>
      <c r="H21" s="31">
        <f>+H20/H18</f>
        <v>7.8508064041091847</v>
      </c>
      <c r="I21" s="24"/>
      <c r="K21" t="s">
        <v>942</v>
      </c>
      <c r="L21" s="31">
        <f>+L20/L18</f>
        <v>0.22995802913271959</v>
      </c>
      <c r="M21" s="24"/>
      <c r="O21" t="s">
        <v>942</v>
      </c>
      <c r="P21" s="31">
        <f>+P20/P18</f>
        <v>0.85238329238329236</v>
      </c>
    </row>
    <row r="22" spans="1:16" ht="15.75" thickBot="1" x14ac:dyDescent="0.3">
      <c r="A22" s="28"/>
      <c r="B22" s="29"/>
      <c r="C22" s="29"/>
      <c r="D22" s="30"/>
      <c r="E22" s="28"/>
      <c r="F22" s="32" t="str">
        <f>IFERROR(VLOOKUP(E22,'TARIFS 12 2025'!B21:J486,9,FALSE),"")</f>
        <v/>
      </c>
      <c r="G22" s="29"/>
      <c r="H22" s="30"/>
      <c r="I22" s="28"/>
      <c r="J22" s="29"/>
      <c r="K22" s="29"/>
      <c r="L22" s="30"/>
      <c r="M22" s="28"/>
      <c r="N22" s="29"/>
      <c r="O22" s="29"/>
      <c r="P22" s="30"/>
    </row>
    <row r="23" spans="1:16" x14ac:dyDescent="0.25">
      <c r="F23" s="162" t="str">
        <f>IFERROR(VLOOKUP(E23,'TARIFS 12 2025'!B22:J487,9,FALSE),"")</f>
        <v/>
      </c>
    </row>
    <row r="24" spans="1:16" ht="24.75" customHeight="1" x14ac:dyDescent="0.25">
      <c r="A24" s="174" t="s">
        <v>962</v>
      </c>
      <c r="B24" s="175"/>
      <c r="C24" s="175"/>
      <c r="D24" s="175"/>
      <c r="E24" s="181" t="s">
        <v>963</v>
      </c>
      <c r="F24" s="182"/>
      <c r="G24" s="182"/>
      <c r="H24" s="183"/>
      <c r="I24" s="175" t="s">
        <v>964</v>
      </c>
      <c r="J24" s="175"/>
      <c r="K24" s="175"/>
      <c r="L24" s="176"/>
      <c r="M24" s="174" t="s">
        <v>965</v>
      </c>
      <c r="N24" s="175"/>
      <c r="O24" s="175"/>
      <c r="P24" s="176"/>
    </row>
    <row r="25" spans="1:16" x14ac:dyDescent="0.25">
      <c r="A25" s="37"/>
      <c r="B25" s="6" t="s">
        <v>933</v>
      </c>
      <c r="C25" s="6" t="s">
        <v>934</v>
      </c>
      <c r="D25" s="38"/>
      <c r="E25" s="37"/>
      <c r="F25" s="161" t="str">
        <f>IFERROR(VLOOKUP(E25,'TARIFS 12 2025'!B24:J489,9,FALSE),"")</f>
        <v/>
      </c>
      <c r="G25" s="6" t="s">
        <v>934</v>
      </c>
      <c r="H25" s="38"/>
      <c r="I25" s="37"/>
      <c r="J25" s="6" t="s">
        <v>933</v>
      </c>
      <c r="K25" s="6" t="s">
        <v>934</v>
      </c>
      <c r="L25" s="38"/>
      <c r="M25" s="37"/>
      <c r="N25" s="6" t="s">
        <v>933</v>
      </c>
      <c r="O25" s="6" t="s">
        <v>934</v>
      </c>
      <c r="P25" s="38"/>
    </row>
    <row r="26" spans="1:16" x14ac:dyDescent="0.25">
      <c r="A26" s="33" t="s">
        <v>69</v>
      </c>
      <c r="B26" s="32">
        <f>IFERROR(VLOOKUP(A26,'TARIFS 12 2025'!B3:J525,9,FALSE),"")</f>
        <v>4.8</v>
      </c>
      <c r="C26" s="36">
        <v>0.9375</v>
      </c>
      <c r="D26" s="34">
        <f>+C26*B26</f>
        <v>4.5</v>
      </c>
      <c r="E26" s="33" t="s">
        <v>541</v>
      </c>
      <c r="F26" s="32">
        <f>IFERROR(VLOOKUP(E26,'TARIFS 12 2025'!B25:J490,9,FALSE),"")</f>
        <v>1.91</v>
      </c>
      <c r="G26" s="36">
        <v>10.625</v>
      </c>
      <c r="H26" s="34">
        <f t="shared" ref="H26:H29" si="4">+G26*F26</f>
        <v>20.293749999999999</v>
      </c>
      <c r="I26" s="33" t="s">
        <v>272</v>
      </c>
      <c r="J26" s="32">
        <f>IFERROR(VLOOKUP(I26,'TARIFS 12 2025'!B3:J491,9,FALSE),"")</f>
        <v>4.0000000000000001E-3</v>
      </c>
      <c r="K26" s="36">
        <v>5</v>
      </c>
      <c r="L26" s="34">
        <f>+K26*J26</f>
        <v>0.02</v>
      </c>
      <c r="M26" s="33" t="s">
        <v>314</v>
      </c>
      <c r="N26" s="32">
        <f>IFERROR(VLOOKUP(M26,'TARIFS 12 2025'!B3:J501,9,FALSE),"")</f>
        <v>0.70499999999999996</v>
      </c>
      <c r="O26" s="36">
        <v>50</v>
      </c>
      <c r="P26" s="34">
        <f t="shared" ref="P26:P32" si="5">+O26*N26</f>
        <v>35.25</v>
      </c>
    </row>
    <row r="27" spans="1:16" x14ac:dyDescent="0.25">
      <c r="A27" s="33" t="s">
        <v>444</v>
      </c>
      <c r="B27" s="32">
        <f>IFERROR(VLOOKUP(A27,'TARIFS 12 2025'!B4:J526,9,FALSE),"")</f>
        <v>2.5</v>
      </c>
      <c r="C27" s="36">
        <f>1.875/2</f>
        <v>0.9375</v>
      </c>
      <c r="D27" s="34">
        <f>+C27*B27</f>
        <v>2.34375</v>
      </c>
      <c r="E27" s="33" t="s">
        <v>576</v>
      </c>
      <c r="F27" s="32">
        <v>34.29</v>
      </c>
      <c r="G27" s="36">
        <v>1</v>
      </c>
      <c r="H27" s="34">
        <f t="shared" si="4"/>
        <v>34.29</v>
      </c>
      <c r="I27" s="33" t="s">
        <v>69</v>
      </c>
      <c r="J27" s="32">
        <f>IFERROR(VLOOKUP(I27,'TARIFS 12 2025'!B4:J492,9,FALSE),"")</f>
        <v>4.8</v>
      </c>
      <c r="K27" s="36">
        <v>4</v>
      </c>
      <c r="L27" s="34">
        <f t="shared" ref="L27:L33" si="6">+K27*J27</f>
        <v>19.2</v>
      </c>
      <c r="M27" s="33" t="s">
        <v>272</v>
      </c>
      <c r="N27" s="32">
        <f>IFERROR(VLOOKUP(M27,'TARIFS 12 2025'!B4:J502,9,FALSE),"")</f>
        <v>4.0000000000000001E-3</v>
      </c>
      <c r="O27" s="36">
        <v>10.75</v>
      </c>
      <c r="P27" s="34">
        <f t="shared" si="5"/>
        <v>4.3000000000000003E-2</v>
      </c>
    </row>
    <row r="28" spans="1:16" x14ac:dyDescent="0.25">
      <c r="A28" s="33" t="s">
        <v>852</v>
      </c>
      <c r="B28" s="32">
        <f>IFERROR(VLOOKUP(A28,'TARIFS 12 2025'!B4:J526,9,FALSE),"")</f>
        <v>1.4670000000000001</v>
      </c>
      <c r="C28" s="36">
        <v>1.5625</v>
      </c>
      <c r="D28" s="34">
        <f t="shared" ref="D28:D33" si="7">+C28*B28</f>
        <v>2.2921875000000003</v>
      </c>
      <c r="E28" s="33" t="s">
        <v>270</v>
      </c>
      <c r="F28" s="32">
        <f>IFERROR(VLOOKUP(E28,'TARIFS 12 2025'!B27:J492,9,FALSE),"")</f>
        <v>5.95</v>
      </c>
      <c r="G28" s="36">
        <v>1</v>
      </c>
      <c r="H28" s="34">
        <f t="shared" si="4"/>
        <v>5.95</v>
      </c>
      <c r="I28" s="33" t="s">
        <v>831</v>
      </c>
      <c r="J28" s="32">
        <f>IFERROR(VLOOKUP(I28,'TARIFS 12 2025'!B5:J493,9,FALSE),"")</f>
        <v>0.27</v>
      </c>
      <c r="K28" s="36">
        <v>0.1</v>
      </c>
      <c r="L28" s="34">
        <f t="shared" si="6"/>
        <v>2.7000000000000003E-2</v>
      </c>
      <c r="M28" s="33" t="s">
        <v>498</v>
      </c>
      <c r="N28" s="32">
        <f>IFERROR(VLOOKUP(M28,'TARIFS 12 2025'!B5:J503,9,FALSE),"")</f>
        <v>2.72</v>
      </c>
      <c r="O28" s="36">
        <v>12</v>
      </c>
      <c r="P28" s="34">
        <f t="shared" si="5"/>
        <v>32.64</v>
      </c>
    </row>
    <row r="29" spans="1:16" x14ac:dyDescent="0.25">
      <c r="A29" s="33" t="s">
        <v>854</v>
      </c>
      <c r="B29" s="32">
        <f>IFERROR(VLOOKUP(A29,'TARIFS 12 2025'!B5:J527,9,FALSE),"")</f>
        <v>0.86</v>
      </c>
      <c r="C29" s="36">
        <v>1.5625</v>
      </c>
      <c r="D29" s="34">
        <f t="shared" si="7"/>
        <v>1.34375</v>
      </c>
      <c r="E29" s="33" t="s">
        <v>578</v>
      </c>
      <c r="F29" s="32">
        <f>IFERROR(VLOOKUP(E29,'TARIFS 12 2025'!B28:J493,9,FALSE),"")</f>
        <v>76.5</v>
      </c>
      <c r="G29" s="36">
        <v>0.4</v>
      </c>
      <c r="H29" s="34">
        <f t="shared" si="4"/>
        <v>30.6</v>
      </c>
      <c r="I29" s="33" t="s">
        <v>854</v>
      </c>
      <c r="J29" s="32">
        <f>IFERROR(VLOOKUP(I29,'TARIFS 12 2025'!B6:J494,9,FALSE),"")</f>
        <v>0.86</v>
      </c>
      <c r="K29" s="36">
        <v>1</v>
      </c>
      <c r="L29" s="34">
        <f t="shared" si="6"/>
        <v>0.86</v>
      </c>
      <c r="M29" s="33" t="s">
        <v>436</v>
      </c>
      <c r="N29" s="32">
        <f>IFERROR(VLOOKUP(M29,'TARIFS 12 2025'!B6:J504,9,FALSE),"")</f>
        <v>3.45</v>
      </c>
      <c r="O29" s="36">
        <v>1.75</v>
      </c>
      <c r="P29" s="34">
        <f t="shared" si="5"/>
        <v>6.0375000000000005</v>
      </c>
    </row>
    <row r="30" spans="1:16" x14ac:dyDescent="0.25">
      <c r="A30" s="33" t="s">
        <v>498</v>
      </c>
      <c r="B30" s="32">
        <f>IFERROR(VLOOKUP(A30,'TARIFS 12 2025'!B6:J528,9,FALSE),"")</f>
        <v>2.72</v>
      </c>
      <c r="C30" s="36">
        <v>1.25</v>
      </c>
      <c r="D30" s="34">
        <f t="shared" si="7"/>
        <v>3.4000000000000004</v>
      </c>
      <c r="E30" s="33"/>
      <c r="F30" s="32" t="str">
        <f>IFERROR(VLOOKUP(E30,'TARIFS 12 2025'!B29:J494,9,FALSE),"")</f>
        <v/>
      </c>
      <c r="G30" s="36"/>
      <c r="H30" s="34"/>
      <c r="I30" s="33" t="s">
        <v>314</v>
      </c>
      <c r="J30" s="32">
        <f>IFERROR(VLOOKUP(I30,'TARIFS 12 2025'!B7:J495,9,FALSE),"")</f>
        <v>0.70499999999999996</v>
      </c>
      <c r="K30" s="36">
        <v>4</v>
      </c>
      <c r="L30" s="34">
        <f t="shared" si="6"/>
        <v>2.82</v>
      </c>
      <c r="M30" s="33" t="s">
        <v>854</v>
      </c>
      <c r="N30" s="32">
        <f>IFERROR(VLOOKUP(M30,'TARIFS 12 2025'!B7:J505,9,FALSE),"")</f>
        <v>0.86</v>
      </c>
      <c r="O30" s="36">
        <v>6</v>
      </c>
      <c r="P30" s="34">
        <f t="shared" si="5"/>
        <v>5.16</v>
      </c>
    </row>
    <row r="31" spans="1:16" x14ac:dyDescent="0.25">
      <c r="A31" s="33" t="s">
        <v>432</v>
      </c>
      <c r="B31" s="32">
        <f>IFERROR(VLOOKUP(A31,'TARIFS 12 2025'!B7:J529,9,FALSE),"")</f>
        <v>4.6900000000000004</v>
      </c>
      <c r="C31" s="36">
        <v>6.25E-2</v>
      </c>
      <c r="D31" s="34">
        <f t="shared" si="7"/>
        <v>0.29312500000000002</v>
      </c>
      <c r="E31" s="33"/>
      <c r="F31" s="32" t="str">
        <f>IFERROR(VLOOKUP(E31,'TARIFS 12 2025'!B30:J495,9,FALSE),"")</f>
        <v/>
      </c>
      <c r="G31" s="36"/>
      <c r="H31" s="34"/>
      <c r="I31" s="33" t="s">
        <v>498</v>
      </c>
      <c r="J31" s="32">
        <f>IFERROR(VLOOKUP(I31,'TARIFS 12 2025'!B8:J496,9,FALSE),"")</f>
        <v>2.72</v>
      </c>
      <c r="K31" s="36">
        <v>4.7</v>
      </c>
      <c r="L31" s="34">
        <f t="shared" si="6"/>
        <v>12.784000000000001</v>
      </c>
      <c r="M31" s="33" t="s">
        <v>831</v>
      </c>
      <c r="N31" s="32">
        <f>IFERROR(VLOOKUP(M31,'TARIFS 12 2025'!B8:J506,9,FALSE),"")</f>
        <v>0.27</v>
      </c>
      <c r="O31" s="36">
        <v>1</v>
      </c>
      <c r="P31" s="34">
        <f t="shared" si="5"/>
        <v>0.27</v>
      </c>
    </row>
    <row r="32" spans="1:16" x14ac:dyDescent="0.25">
      <c r="A32" s="33" t="s">
        <v>831</v>
      </c>
      <c r="B32" s="32">
        <f>IFERROR(VLOOKUP(A32,'TARIFS 12 2025'!B8:J530,9,FALSE),"")</f>
        <v>0.27</v>
      </c>
      <c r="C32" s="36">
        <v>6.25E-2</v>
      </c>
      <c r="D32" s="34">
        <f t="shared" si="7"/>
        <v>1.6875000000000001E-2</v>
      </c>
      <c r="E32" s="33"/>
      <c r="F32" s="32" t="str">
        <f>IFERROR(VLOOKUP(E32,'TARIFS 12 2025'!B31:J496,9,FALSE),"")</f>
        <v/>
      </c>
      <c r="G32" s="36"/>
      <c r="H32" s="34"/>
      <c r="I32" s="33" t="s">
        <v>859</v>
      </c>
      <c r="J32" s="32">
        <f>IFERROR(VLOOKUP(I32,'TARIFS 12 2025'!B3:J476,9,FALSE),"")</f>
        <v>1.776</v>
      </c>
      <c r="K32" s="36">
        <v>3</v>
      </c>
      <c r="L32" s="34">
        <f t="shared" si="6"/>
        <v>5.3280000000000003</v>
      </c>
      <c r="M32" s="33" t="s">
        <v>883</v>
      </c>
      <c r="N32" s="32">
        <f>IFERROR(VLOOKUP(M32,'TARIFS 12 2025'!B9:J507,9,FALSE),"")</f>
        <v>4.49</v>
      </c>
      <c r="O32" s="36">
        <v>0.25</v>
      </c>
      <c r="P32" s="34">
        <f t="shared" si="5"/>
        <v>1.1225000000000001</v>
      </c>
    </row>
    <row r="33" spans="1:16" x14ac:dyDescent="0.25">
      <c r="A33" s="33" t="s">
        <v>318</v>
      </c>
      <c r="B33" s="32">
        <f>IFERROR(VLOOKUP(A33,'TARIFS 12 2025'!B9:J531,9,FALSE),"")</f>
        <v>1.05</v>
      </c>
      <c r="C33" s="36">
        <v>4.375</v>
      </c>
      <c r="D33" s="34">
        <f t="shared" si="7"/>
        <v>4.59375</v>
      </c>
      <c r="E33" s="33"/>
      <c r="F33" s="32" t="str">
        <f>IFERROR(VLOOKUP(E33,'TARIFS 12 2025'!B32:J497,9,FALSE),"")</f>
        <v/>
      </c>
      <c r="G33" s="36"/>
      <c r="H33" s="34"/>
      <c r="I33" s="33" t="s">
        <v>19</v>
      </c>
      <c r="J33" s="32">
        <f>IFERROR(VLOOKUP(I33,'TARIFS 12 2025'!B3:J508,9,FALSE),"")</f>
        <v>2.75</v>
      </c>
      <c r="K33" s="36">
        <v>1</v>
      </c>
      <c r="L33" s="34">
        <f t="shared" si="6"/>
        <v>2.75</v>
      </c>
      <c r="M33" s="33" t="s">
        <v>444</v>
      </c>
      <c r="N33" s="32">
        <f>IFERROR(VLOOKUP(M33,'TARIFS 12 2025'!B10:J508,9,FALSE),"")</f>
        <v>2.5</v>
      </c>
      <c r="O33" s="36">
        <v>15</v>
      </c>
      <c r="P33" s="34">
        <f t="shared" ref="P33:P34" si="8">+O33*N33</f>
        <v>37.5</v>
      </c>
    </row>
    <row r="34" spans="1:16" x14ac:dyDescent="0.25">
      <c r="A34" s="33" t="s">
        <v>270</v>
      </c>
      <c r="B34" s="32">
        <f>IFERROR(VLOOKUP(A34,'TARIFS 12 2025'!B10:J532,9,FALSE),"")</f>
        <v>5.95</v>
      </c>
      <c r="C34" s="36">
        <v>3.125</v>
      </c>
      <c r="D34" s="34">
        <f>+C34*B34</f>
        <v>18.59375</v>
      </c>
      <c r="E34" s="33"/>
      <c r="F34" s="32"/>
      <c r="G34" s="36"/>
      <c r="H34" s="34"/>
      <c r="I34" s="33"/>
      <c r="J34" s="32" t="str">
        <f>IFERROR(VLOOKUP(I34,'TARIFS 12 2025'!B11:J499,9,FALSE),"")</f>
        <v/>
      </c>
      <c r="K34" s="36"/>
      <c r="L34" s="34"/>
      <c r="M34" s="33" t="s">
        <v>733</v>
      </c>
      <c r="N34" s="32">
        <f>IFERROR(VLOOKUP(M34,'TARIFS 12 2025'!B11:J509,9,FALSE),"")</f>
        <v>2.42</v>
      </c>
      <c r="O34" s="36">
        <v>2.5</v>
      </c>
      <c r="P34" s="34">
        <f t="shared" si="8"/>
        <v>6.05</v>
      </c>
    </row>
    <row r="35" spans="1:16" x14ac:dyDescent="0.25">
      <c r="A35" s="33"/>
      <c r="B35" s="32" t="str">
        <f>IFERROR(VLOOKUP(A35,'TARIFS 12 2025'!B12:J534,9,FALSE),"")</f>
        <v/>
      </c>
      <c r="C35" s="36"/>
      <c r="D35" s="34"/>
      <c r="E35" s="33"/>
      <c r="F35" s="32"/>
      <c r="G35" s="36"/>
      <c r="H35" s="34"/>
      <c r="I35" s="33"/>
      <c r="J35" s="32" t="str">
        <f>IFERROR(VLOOKUP(I35,'TARIFS 12 2025'!B12:J500,9,FALSE),"")</f>
        <v/>
      </c>
      <c r="K35" s="36"/>
      <c r="L35" s="34"/>
      <c r="M35" s="33"/>
      <c r="N35" s="32"/>
      <c r="O35" s="36"/>
      <c r="P35" s="34"/>
    </row>
    <row r="36" spans="1:16" x14ac:dyDescent="0.25">
      <c r="A36" s="33"/>
      <c r="B36" s="32"/>
      <c r="C36" s="36"/>
      <c r="D36" s="34"/>
      <c r="E36" s="33"/>
      <c r="F36" s="32" t="str">
        <f>IFERROR(VLOOKUP(E36,'TARIFS 12 2025'!B35:J500,9,FALSE),"")</f>
        <v/>
      </c>
      <c r="G36" s="36"/>
      <c r="H36" s="34"/>
      <c r="I36" s="33"/>
      <c r="J36" s="32" t="str">
        <f>IFERROR(VLOOKUP(I36,'TARIFS 12 2025'!F13:N503,9,FALSE),"")</f>
        <v/>
      </c>
      <c r="K36" s="36"/>
      <c r="L36" s="34"/>
      <c r="M36" s="33"/>
      <c r="N36" s="32" t="str">
        <f>IFERROR(VLOOKUP(M36,'TARIFS 12 2025'!J13:R503,9,FALSE),"")</f>
        <v/>
      </c>
      <c r="O36" s="36"/>
      <c r="P36" s="34"/>
    </row>
    <row r="37" spans="1:16" x14ac:dyDescent="0.25">
      <c r="A37" s="33"/>
      <c r="B37" s="32"/>
      <c r="C37" s="36"/>
      <c r="D37" s="34"/>
      <c r="E37" s="33"/>
      <c r="F37" s="32" t="str">
        <f>IFERROR(VLOOKUP(E37,'TARIFS 12 2025'!B36:J501,9,FALSE),"")</f>
        <v/>
      </c>
      <c r="G37" s="36"/>
      <c r="H37" s="34"/>
      <c r="I37" s="33"/>
      <c r="J37" s="32" t="str">
        <f>IFERROR(VLOOKUP(I37,'TARIFS 12 2025'!F14:N504,9,FALSE),"")</f>
        <v/>
      </c>
      <c r="K37" s="36"/>
      <c r="L37" s="34"/>
      <c r="M37" s="33"/>
      <c r="N37" s="32" t="str">
        <f>IFERROR(VLOOKUP(M37,'TARIFS 12 2025'!J14:R504,9,FALSE),"")</f>
        <v/>
      </c>
      <c r="O37" s="36"/>
      <c r="P37" s="34"/>
    </row>
    <row r="38" spans="1:16" x14ac:dyDescent="0.25">
      <c r="A38" s="24"/>
      <c r="D38" s="25"/>
      <c r="E38" s="24"/>
      <c r="H38" s="25"/>
      <c r="I38" s="24"/>
      <c r="L38" s="25"/>
      <c r="M38" s="24"/>
      <c r="P38" s="25"/>
    </row>
    <row r="39" spans="1:16" x14ac:dyDescent="0.25">
      <c r="A39" s="24"/>
      <c r="C39" t="s">
        <v>966</v>
      </c>
      <c r="D39" s="26">
        <f>+SUM(D26:D37)</f>
        <v>37.377187500000005</v>
      </c>
      <c r="E39" s="24"/>
      <c r="G39" t="s">
        <v>967</v>
      </c>
      <c r="H39" s="26">
        <f>+SUM(H26:H37)</f>
        <v>91.133749999999992</v>
      </c>
      <c r="I39" s="24"/>
      <c r="K39" t="s">
        <v>968</v>
      </c>
      <c r="L39" s="26">
        <f>+SUM(L26:L37)</f>
        <v>43.789000000000001</v>
      </c>
      <c r="M39" s="24"/>
      <c r="O39" t="s">
        <v>969</v>
      </c>
      <c r="P39" s="26">
        <f>+SUM(P26:P37)</f>
        <v>124.07299999999998</v>
      </c>
    </row>
    <row r="40" spans="1:16" x14ac:dyDescent="0.25">
      <c r="A40" s="24"/>
      <c r="C40" t="s">
        <v>939</v>
      </c>
      <c r="D40" s="27">
        <f>+D39/150</f>
        <v>0.24918125000000002</v>
      </c>
      <c r="E40" s="92"/>
      <c r="G40" t="s">
        <v>939</v>
      </c>
      <c r="H40" s="27">
        <f>+H39/120</f>
        <v>0.75944791666666656</v>
      </c>
      <c r="I40" s="24"/>
      <c r="K40" t="s">
        <v>939</v>
      </c>
      <c r="L40" s="27">
        <f>+L39/2100</f>
        <v>2.0851904761904762E-2</v>
      </c>
      <c r="M40" s="24"/>
      <c r="O40" t="s">
        <v>939</v>
      </c>
      <c r="P40" s="27">
        <f>+P39/111.75</f>
        <v>1.1102729306487693</v>
      </c>
    </row>
    <row r="41" spans="1:16" x14ac:dyDescent="0.25">
      <c r="A41" s="24"/>
      <c r="D41" s="25"/>
      <c r="E41" s="24"/>
      <c r="H41" s="25"/>
      <c r="I41" s="24"/>
      <c r="L41" s="25"/>
      <c r="M41" s="24"/>
      <c r="P41" s="25"/>
    </row>
    <row r="42" spans="1:16" x14ac:dyDescent="0.25">
      <c r="A42" s="24"/>
      <c r="C42" t="s">
        <v>941</v>
      </c>
      <c r="D42" s="27">
        <f>2*0.945</f>
        <v>1.89</v>
      </c>
      <c r="E42" s="24"/>
      <c r="G42" t="s">
        <v>941</v>
      </c>
      <c r="H42" s="27">
        <f>3.8*0.945</f>
        <v>3.5909999999999997</v>
      </c>
      <c r="I42" s="24"/>
      <c r="K42" t="s">
        <v>941</v>
      </c>
      <c r="L42" s="27">
        <v>0.21</v>
      </c>
      <c r="M42" s="24"/>
      <c r="N42" s="150" t="s">
        <v>970</v>
      </c>
      <c r="O42" t="s">
        <v>941</v>
      </c>
      <c r="P42" s="83">
        <f>25*0.945</f>
        <v>23.625</v>
      </c>
    </row>
    <row r="43" spans="1:16" ht="15.75" x14ac:dyDescent="0.25">
      <c r="A43" s="24"/>
      <c r="C43" t="s">
        <v>942</v>
      </c>
      <c r="D43" s="31">
        <f>+D42/D40</f>
        <v>7.584840352153301</v>
      </c>
      <c r="E43" s="24"/>
      <c r="G43" t="s">
        <v>942</v>
      </c>
      <c r="H43" s="31">
        <f>+H42/H40</f>
        <v>4.728434855363683</v>
      </c>
      <c r="I43" s="24"/>
      <c r="K43" t="s">
        <v>942</v>
      </c>
      <c r="L43" s="31">
        <f>+L42/L40</f>
        <v>10.07102240288657</v>
      </c>
      <c r="M43" s="24"/>
      <c r="O43" t="s">
        <v>942</v>
      </c>
      <c r="P43" s="31">
        <f>+P42/P40</f>
        <v>21.278551739701633</v>
      </c>
    </row>
    <row r="44" spans="1:16" ht="15.75" thickBot="1" x14ac:dyDescent="0.3">
      <c r="A44" s="28"/>
      <c r="B44" s="29"/>
      <c r="C44" s="29"/>
      <c r="D44" s="30"/>
      <c r="E44" s="28"/>
      <c r="F44" s="29"/>
      <c r="G44" s="29"/>
      <c r="H44" s="30"/>
      <c r="I44" s="28"/>
      <c r="J44" s="29"/>
      <c r="K44" s="29"/>
      <c r="L44" s="30"/>
      <c r="M44" s="28"/>
      <c r="N44" s="29"/>
      <c r="O44" s="29" t="s">
        <v>0</v>
      </c>
      <c r="P44" s="94">
        <f>(P42-P40)/P42</f>
        <v>0.95300432039581928</v>
      </c>
    </row>
    <row r="45" spans="1:16" ht="19.5" thickBot="1" x14ac:dyDescent="0.3">
      <c r="A45" s="174" t="s">
        <v>971</v>
      </c>
      <c r="B45" s="175"/>
      <c r="C45" s="175"/>
      <c r="D45" s="176"/>
      <c r="E45" s="174" t="s">
        <v>972</v>
      </c>
      <c r="F45" s="175"/>
      <c r="G45" s="175"/>
      <c r="H45" s="176"/>
      <c r="I45" s="174" t="s">
        <v>973</v>
      </c>
      <c r="J45" s="175"/>
      <c r="K45" s="175"/>
      <c r="L45" s="176"/>
      <c r="M45" s="174" t="s">
        <v>974</v>
      </c>
      <c r="N45" s="175"/>
      <c r="O45" s="175"/>
      <c r="P45" s="176"/>
    </row>
    <row r="46" spans="1:16" x14ac:dyDescent="0.25">
      <c r="A46" s="37"/>
      <c r="B46" s="6" t="s">
        <v>933</v>
      </c>
      <c r="C46" s="6" t="s">
        <v>934</v>
      </c>
      <c r="D46" s="38"/>
      <c r="E46" s="37"/>
      <c r="F46" s="6" t="s">
        <v>933</v>
      </c>
      <c r="G46" s="6" t="s">
        <v>934</v>
      </c>
      <c r="H46" s="38"/>
      <c r="I46" s="37"/>
      <c r="J46" s="6" t="s">
        <v>933</v>
      </c>
      <c r="K46" s="6" t="s">
        <v>934</v>
      </c>
      <c r="L46" s="38"/>
      <c r="M46" s="37"/>
      <c r="N46" s="6" t="s">
        <v>933</v>
      </c>
      <c r="O46" s="6" t="s">
        <v>934</v>
      </c>
      <c r="P46" s="38"/>
    </row>
    <row r="47" spans="1:16" x14ac:dyDescent="0.25">
      <c r="A47" s="33" t="s">
        <v>69</v>
      </c>
      <c r="B47" s="32">
        <f>IFERROR(VLOOKUP(A47,'TARIFS 12 2025'!B24:J546,9,FALSE),"")</f>
        <v>4.8</v>
      </c>
      <c r="C47" s="36">
        <v>1.875</v>
      </c>
      <c r="D47" s="34">
        <f t="shared" ref="D47:D53" si="9">+C47*B47</f>
        <v>9</v>
      </c>
      <c r="E47" s="33" t="s">
        <v>79</v>
      </c>
      <c r="F47" s="32">
        <f>IFERROR(VLOOKUP(E47,'TARIFS 12 2025'!B24:J514,9,FALSE),"")</f>
        <v>3.29</v>
      </c>
      <c r="G47" s="36">
        <v>0.8</v>
      </c>
      <c r="H47" s="34">
        <f>+G47*F47</f>
        <v>2.6320000000000001</v>
      </c>
      <c r="I47" s="33" t="s">
        <v>79</v>
      </c>
      <c r="J47" s="32">
        <v>3.51</v>
      </c>
      <c r="K47" s="36">
        <v>1</v>
      </c>
      <c r="L47" s="34">
        <f>+K47*J47</f>
        <v>3.51</v>
      </c>
      <c r="M47" s="33" t="s">
        <v>69</v>
      </c>
      <c r="N47" s="32">
        <f t="shared" ref="N47:N53" si="10">B47</f>
        <v>4.8</v>
      </c>
      <c r="O47" s="36">
        <f>6.65/2</f>
        <v>3.3250000000000002</v>
      </c>
      <c r="P47" s="34">
        <f t="shared" ref="P47:P53" si="11">+O47*N47</f>
        <v>15.96</v>
      </c>
    </row>
    <row r="48" spans="1:16" x14ac:dyDescent="0.25">
      <c r="A48" s="33" t="s">
        <v>852</v>
      </c>
      <c r="B48" s="32">
        <f>IFERROR(VLOOKUP(A48,'TARIFS 12 2025'!B25:J547,9,FALSE),"")</f>
        <v>1.4670000000000001</v>
      </c>
      <c r="C48" s="36">
        <v>1.5625</v>
      </c>
      <c r="D48" s="34">
        <f t="shared" si="9"/>
        <v>2.2921875000000003</v>
      </c>
      <c r="E48" s="33" t="s">
        <v>854</v>
      </c>
      <c r="F48" s="32">
        <f>IFERROR(VLOOKUP(E48,'TARIFS 12 2025'!B25:J515,9,FALSE),"")</f>
        <v>0.86</v>
      </c>
      <c r="G48" s="36">
        <v>1</v>
      </c>
      <c r="H48" s="34">
        <f>+G48*F48</f>
        <v>0.86</v>
      </c>
      <c r="I48" s="33" t="s">
        <v>854</v>
      </c>
      <c r="J48" s="32">
        <v>0.86</v>
      </c>
      <c r="K48" s="36">
        <v>2</v>
      </c>
      <c r="L48" s="34">
        <f>+K48*J48</f>
        <v>1.72</v>
      </c>
      <c r="M48" s="33" t="s">
        <v>857</v>
      </c>
      <c r="N48" s="32">
        <f t="shared" si="10"/>
        <v>1.4670000000000001</v>
      </c>
      <c r="O48" s="36">
        <v>6</v>
      </c>
      <c r="P48" s="34">
        <f t="shared" si="11"/>
        <v>8.8019999999999996</v>
      </c>
    </row>
    <row r="49" spans="1:17" x14ac:dyDescent="0.25">
      <c r="A49" s="33" t="s">
        <v>854</v>
      </c>
      <c r="B49" s="32">
        <f>IFERROR(VLOOKUP(A49,'TARIFS 12 2025'!B26:J548,9,FALSE),"")</f>
        <v>0.86</v>
      </c>
      <c r="C49" s="36">
        <v>1.5625</v>
      </c>
      <c r="D49" s="34">
        <f t="shared" si="9"/>
        <v>1.34375</v>
      </c>
      <c r="E49" s="33" t="s">
        <v>903</v>
      </c>
      <c r="F49" s="32">
        <f>IFERROR(VLOOKUP(E49,'TARIFS 12 2025'!B26:J516,9,FALSE),"")</f>
        <v>6.45</v>
      </c>
      <c r="G49" s="36">
        <v>1.25</v>
      </c>
      <c r="H49" s="34">
        <f>+G49*F49</f>
        <v>8.0625</v>
      </c>
      <c r="I49" s="33"/>
      <c r="J49" s="32"/>
      <c r="K49" s="36"/>
      <c r="L49" s="34"/>
      <c r="M49" s="33" t="s">
        <v>498</v>
      </c>
      <c r="N49" s="32">
        <f t="shared" si="10"/>
        <v>0.86</v>
      </c>
      <c r="O49" s="36">
        <v>1</v>
      </c>
      <c r="P49" s="34">
        <f t="shared" si="11"/>
        <v>0.86</v>
      </c>
    </row>
    <row r="50" spans="1:17" x14ac:dyDescent="0.25">
      <c r="A50" s="33" t="s">
        <v>498</v>
      </c>
      <c r="B50" s="32">
        <f>IFERROR(VLOOKUP(A50,'TARIFS 12 2025'!B27:J549,9,FALSE),"")</f>
        <v>2.72</v>
      </c>
      <c r="C50" s="36">
        <v>1.25</v>
      </c>
      <c r="D50" s="34">
        <f t="shared" si="9"/>
        <v>3.4000000000000004</v>
      </c>
      <c r="E50" s="33"/>
      <c r="F50" s="32" t="str">
        <f>IFERROR(VLOOKUP(E50,'TARIFS 12 2025'!B27:J517,9,FALSE),"")</f>
        <v/>
      </c>
      <c r="G50" s="36"/>
      <c r="H50" s="34"/>
      <c r="I50" s="33"/>
      <c r="J50" s="32"/>
      <c r="K50" s="36"/>
      <c r="L50" s="34"/>
      <c r="M50" s="33" t="s">
        <v>432</v>
      </c>
      <c r="N50" s="32">
        <f t="shared" si="10"/>
        <v>2.72</v>
      </c>
      <c r="O50" s="36">
        <v>0.12</v>
      </c>
      <c r="P50" s="34">
        <f t="shared" si="11"/>
        <v>0.32640000000000002</v>
      </c>
    </row>
    <row r="51" spans="1:17" x14ac:dyDescent="0.25">
      <c r="A51" s="33" t="s">
        <v>432</v>
      </c>
      <c r="B51" s="32">
        <f>IFERROR(VLOOKUP(A51,'TARIFS 12 2025'!B28:J550,9,FALSE),"")</f>
        <v>4.6900000000000004</v>
      </c>
      <c r="C51" s="36">
        <v>6.25E-2</v>
      </c>
      <c r="D51" s="34">
        <f t="shared" si="9"/>
        <v>0.29312500000000002</v>
      </c>
      <c r="E51" s="33"/>
      <c r="F51" s="32" t="str">
        <f>IFERROR(VLOOKUP(E51,'TARIFS 12 2025'!B28:J518,9,FALSE),"")</f>
        <v/>
      </c>
      <c r="G51" s="36"/>
      <c r="H51" s="34"/>
      <c r="I51" s="33"/>
      <c r="J51" s="32"/>
      <c r="K51" s="36"/>
      <c r="L51" s="34"/>
      <c r="M51" s="33" t="s">
        <v>831</v>
      </c>
      <c r="N51" s="32">
        <f t="shared" si="10"/>
        <v>4.6900000000000004</v>
      </c>
      <c r="O51" s="36">
        <v>0.15</v>
      </c>
      <c r="P51" s="34">
        <f t="shared" si="11"/>
        <v>0.70350000000000001</v>
      </c>
    </row>
    <row r="52" spans="1:17" x14ac:dyDescent="0.25">
      <c r="A52" s="33" t="s">
        <v>831</v>
      </c>
      <c r="B52" s="32">
        <f>IFERROR(VLOOKUP(A52,'TARIFS 12 2025'!B29:J551,9,FALSE),"")</f>
        <v>0.27</v>
      </c>
      <c r="C52" s="36">
        <v>6.25E-2</v>
      </c>
      <c r="D52" s="34">
        <f t="shared" si="9"/>
        <v>1.6875000000000001E-2</v>
      </c>
      <c r="E52" s="33"/>
      <c r="F52" s="32" t="str">
        <f>IFERROR(VLOOKUP(E52,'TARIFS 12 2025'!B29:J519,9,FALSE),"")</f>
        <v/>
      </c>
      <c r="G52" s="36"/>
      <c r="H52" s="34"/>
      <c r="I52" s="33"/>
      <c r="J52" s="32"/>
      <c r="K52" s="36"/>
      <c r="L52" s="34"/>
      <c r="M52" s="33" t="s">
        <v>318</v>
      </c>
      <c r="N52" s="32">
        <f t="shared" si="10"/>
        <v>0.27</v>
      </c>
      <c r="O52" s="36">
        <v>8</v>
      </c>
      <c r="P52" s="34">
        <f t="shared" si="11"/>
        <v>2.16</v>
      </c>
    </row>
    <row r="53" spans="1:17" x14ac:dyDescent="0.25">
      <c r="A53" s="33" t="s">
        <v>318</v>
      </c>
      <c r="B53" s="32">
        <f>IFERROR(VLOOKUP(A53,'TARIFS 12 2025'!B30:J552,9,FALSE),"")</f>
        <v>1.05</v>
      </c>
      <c r="C53" s="36">
        <v>4.375</v>
      </c>
      <c r="D53" s="34">
        <f t="shared" si="9"/>
        <v>4.59375</v>
      </c>
      <c r="E53" s="33"/>
      <c r="F53" s="32" t="str">
        <f>IFERROR(VLOOKUP(E53,'TARIFS 12 2025'!B30:J520,9,FALSE),"")</f>
        <v/>
      </c>
      <c r="G53" s="36"/>
      <c r="H53" s="34"/>
      <c r="I53" s="33"/>
      <c r="J53" s="32"/>
      <c r="K53" s="36"/>
      <c r="L53" s="34"/>
      <c r="M53" s="33" t="s">
        <v>412</v>
      </c>
      <c r="N53" s="32">
        <f t="shared" si="10"/>
        <v>1.05</v>
      </c>
      <c r="O53" s="36">
        <v>1</v>
      </c>
      <c r="P53" s="34">
        <f t="shared" si="11"/>
        <v>1.05</v>
      </c>
    </row>
    <row r="54" spans="1:17" x14ac:dyDescent="0.25">
      <c r="A54" s="33"/>
      <c r="B54" s="32"/>
      <c r="C54" s="36"/>
      <c r="D54" s="34"/>
      <c r="E54" s="33"/>
      <c r="F54" s="32" t="str">
        <f>IFERROR(VLOOKUP(E54,'TARIFS 12 2025'!B31:J521,9,FALSE),"")</f>
        <v/>
      </c>
      <c r="G54" s="36"/>
      <c r="H54" s="34"/>
      <c r="I54" s="33"/>
      <c r="J54" s="32"/>
      <c r="K54" s="36"/>
      <c r="L54" s="34"/>
      <c r="M54" s="33" t="s">
        <v>444</v>
      </c>
      <c r="N54" s="32">
        <v>2.5</v>
      </c>
      <c r="O54" s="36">
        <v>3.3250000000000002</v>
      </c>
      <c r="P54" s="34">
        <f t="shared" ref="P54" si="12">+O54*N54</f>
        <v>8.3125</v>
      </c>
    </row>
    <row r="55" spans="1:17" x14ac:dyDescent="0.25">
      <c r="A55" s="33"/>
      <c r="B55" s="32" t="str">
        <f>IFERROR(VLOOKUP(A55,'TARIFS 12 2025'!B32:J554,9,FALSE),"")</f>
        <v/>
      </c>
      <c r="C55" s="36"/>
      <c r="D55" s="34"/>
      <c r="E55" s="33"/>
      <c r="F55" s="32" t="str">
        <f>IFERROR(VLOOKUP(E55,'TARIFS 12 2025'!B32:J522,9,FALSE),"")</f>
        <v/>
      </c>
      <c r="G55" s="36"/>
      <c r="H55" s="34"/>
      <c r="I55" s="33"/>
      <c r="J55" s="32" t="str">
        <f>IFERROR(VLOOKUP(I55,'TARIFS 12 2025'!B32:J520,9,FALSE),"")</f>
        <v/>
      </c>
      <c r="K55" s="36"/>
      <c r="L55" s="34"/>
      <c r="M55" s="33"/>
      <c r="N55" s="32"/>
      <c r="O55" s="36"/>
      <c r="P55" s="34"/>
    </row>
    <row r="56" spans="1:17" x14ac:dyDescent="0.25">
      <c r="A56" s="33"/>
      <c r="B56" s="32" t="str">
        <f>IFERROR(VLOOKUP(A56,'TARIFS 12 2025'!B33:J555,9,FALSE),"")</f>
        <v/>
      </c>
      <c r="C56" s="36"/>
      <c r="D56" s="34"/>
      <c r="E56" s="33"/>
      <c r="F56" s="32"/>
      <c r="G56" s="36"/>
      <c r="H56" s="34"/>
      <c r="I56" s="33"/>
      <c r="J56" s="32" t="str">
        <f>IFERROR(VLOOKUP(I56,'TARIFS 12 2025'!B33:J521,9,FALSE),"")</f>
        <v/>
      </c>
      <c r="K56" s="36"/>
      <c r="L56" s="34"/>
      <c r="M56" s="33"/>
      <c r="N56" s="32"/>
      <c r="O56" s="36"/>
      <c r="P56" s="34"/>
    </row>
    <row r="57" spans="1:17" x14ac:dyDescent="0.25">
      <c r="A57" s="33"/>
      <c r="B57" s="32"/>
      <c r="C57" s="36"/>
      <c r="D57" s="34"/>
      <c r="E57" s="33"/>
      <c r="F57" s="32" t="str">
        <f>IFERROR(VLOOKUP(E57,'TARIFS 12 2025'!B34:J524,9,FALSE),"")</f>
        <v/>
      </c>
      <c r="G57" s="36"/>
      <c r="H57" s="34"/>
      <c r="I57" s="33"/>
      <c r="J57" s="32" t="str">
        <f>IFERROR(VLOOKUP(I57,'TARIFS 12 2025'!F34:N524,9,FALSE),"")</f>
        <v/>
      </c>
      <c r="K57" s="36"/>
      <c r="L57" s="34"/>
      <c r="M57" s="33"/>
      <c r="N57" s="32" t="str">
        <f>IFERROR(VLOOKUP(M57,'TARIFS 12 2025'!J34:R524,9,FALSE),"")</f>
        <v/>
      </c>
      <c r="O57" s="36"/>
      <c r="P57" s="34"/>
    </row>
    <row r="58" spans="1:17" x14ac:dyDescent="0.25">
      <c r="A58" s="33"/>
      <c r="B58" s="32"/>
      <c r="C58" s="36"/>
      <c r="D58" s="34"/>
      <c r="E58" s="33"/>
      <c r="F58" s="32" t="str">
        <f>IFERROR(VLOOKUP(E58,'TARIFS 12 2025'!B35:J525,9,FALSE),"")</f>
        <v/>
      </c>
      <c r="G58" s="36"/>
      <c r="H58" s="34"/>
      <c r="I58" s="33"/>
      <c r="J58" s="32" t="str">
        <f>IFERROR(VLOOKUP(I58,'TARIFS 12 2025'!F35:N525,9,FALSE),"")</f>
        <v/>
      </c>
      <c r="K58" s="36"/>
      <c r="L58" s="34"/>
      <c r="M58" s="33"/>
      <c r="N58" s="32" t="str">
        <f>IFERROR(VLOOKUP(M58,'TARIFS 12 2025'!J35:R525,9,FALSE),"")</f>
        <v/>
      </c>
      <c r="O58" s="36"/>
      <c r="P58" s="34"/>
    </row>
    <row r="59" spans="1:17" x14ac:dyDescent="0.25">
      <c r="A59" s="24"/>
      <c r="C59">
        <f>SUM(C47:C58)</f>
        <v>10.75</v>
      </c>
      <c r="D59" s="25"/>
      <c r="E59" s="24"/>
      <c r="G59">
        <f>SUM(G47:G58)</f>
        <v>3.05</v>
      </c>
      <c r="H59" s="25"/>
      <c r="I59" s="24"/>
      <c r="K59">
        <f>SUM(K47:K58)</f>
        <v>3</v>
      </c>
      <c r="L59" s="25"/>
      <c r="M59" s="24"/>
      <c r="O59">
        <f>SUM(O47:O58)</f>
        <v>22.919999999999998</v>
      </c>
      <c r="P59" s="26">
        <f>P60/O59</f>
        <v>1.6655497382198954</v>
      </c>
      <c r="Q59" s="160">
        <f>P59*5</f>
        <v>8.327748691099476</v>
      </c>
    </row>
    <row r="60" spans="1:17" x14ac:dyDescent="0.25">
      <c r="A60" s="24"/>
      <c r="D60" s="26">
        <f>+SUM(D47:D58)</f>
        <v>20.939687500000002</v>
      </c>
      <c r="E60" s="24"/>
      <c r="H60" s="26">
        <f>+SUM(H47:H58)</f>
        <v>11.554500000000001</v>
      </c>
      <c r="I60" s="24"/>
      <c r="L60" s="26">
        <f>+SUM(L47:L58)</f>
        <v>5.2299999999999995</v>
      </c>
      <c r="M60" s="24"/>
      <c r="P60" s="26">
        <f>+SUM(P47:P58)</f>
        <v>38.174399999999999</v>
      </c>
    </row>
    <row r="61" spans="1:17" x14ac:dyDescent="0.25">
      <c r="A61" s="24"/>
      <c r="C61" t="s">
        <v>975</v>
      </c>
      <c r="D61" s="159">
        <f>(D60*0.007/C59)*10+0.09</f>
        <v>0.2263514534883721</v>
      </c>
      <c r="E61" s="92"/>
      <c r="G61" t="s">
        <v>975</v>
      </c>
      <c r="H61" s="159">
        <f>(H60*0.007/G59)*10+0.09</f>
        <v>0.35518524590163936</v>
      </c>
      <c r="I61" s="24"/>
      <c r="K61" t="s">
        <v>975</v>
      </c>
      <c r="L61" s="159">
        <f>(L60*0.007/K59)*10+0.09</f>
        <v>0.2120333333333333</v>
      </c>
      <c r="M61" s="24"/>
      <c r="O61" t="s">
        <v>975</v>
      </c>
      <c r="P61" s="159">
        <f>(P60*0.007/O59)*10+0.09</f>
        <v>0.20658848167539268</v>
      </c>
    </row>
    <row r="62" spans="1:17" x14ac:dyDescent="0.25">
      <c r="A62" s="24"/>
      <c r="C62" t="s">
        <v>940</v>
      </c>
      <c r="D62" s="25">
        <v>1.5</v>
      </c>
      <c r="E62" s="24"/>
      <c r="G62" t="s">
        <v>940</v>
      </c>
      <c r="H62" s="25">
        <v>1.8</v>
      </c>
      <c r="I62" s="24"/>
      <c r="K62" t="s">
        <v>940</v>
      </c>
      <c r="L62" s="25">
        <v>1.5</v>
      </c>
      <c r="M62" s="24"/>
      <c r="O62" t="s">
        <v>940</v>
      </c>
      <c r="P62" s="25">
        <v>1.8</v>
      </c>
    </row>
    <row r="63" spans="1:17" x14ac:dyDescent="0.25">
      <c r="A63" s="24"/>
      <c r="C63" t="s">
        <v>941</v>
      </c>
      <c r="D63" s="27">
        <f>D62/(1+5.5/100)</f>
        <v>1.4218009478672986</v>
      </c>
      <c r="E63" s="24"/>
      <c r="G63" t="s">
        <v>941</v>
      </c>
      <c r="H63" s="27">
        <f>H62/(1+5.5/100)</f>
        <v>1.7061611374407584</v>
      </c>
      <c r="I63" s="24"/>
      <c r="K63" t="s">
        <v>941</v>
      </c>
      <c r="L63" s="27">
        <f>L62/(1+5.5/100)</f>
        <v>1.4218009478672986</v>
      </c>
      <c r="M63" s="24"/>
      <c r="N63" s="150" t="s">
        <v>970</v>
      </c>
      <c r="O63" t="s">
        <v>941</v>
      </c>
      <c r="P63" s="27">
        <f>P62/(1+5.5/100)</f>
        <v>1.7061611374407584</v>
      </c>
    </row>
    <row r="64" spans="1:17" ht="15.75" x14ac:dyDescent="0.25">
      <c r="A64" s="24"/>
      <c r="C64" t="s">
        <v>942</v>
      </c>
      <c r="D64" s="31">
        <f>+D63/D61</f>
        <v>6.2813864278558205</v>
      </c>
      <c r="E64" s="24"/>
      <c r="G64" t="s">
        <v>942</v>
      </c>
      <c r="H64" s="31">
        <f>+H63/H61</f>
        <v>4.8035811090904428</v>
      </c>
      <c r="I64" s="24"/>
      <c r="K64" t="s">
        <v>942</v>
      </c>
      <c r="L64" s="31">
        <f>+L63/L61</f>
        <v>6.7055539122809256</v>
      </c>
      <c r="M64" s="24"/>
      <c r="O64" t="s">
        <v>942</v>
      </c>
      <c r="P64" s="31">
        <f>+P63/P61</f>
        <v>8.2587428089122934</v>
      </c>
    </row>
    <row r="65" spans="1:16" x14ac:dyDescent="0.25">
      <c r="A65" s="28"/>
      <c r="B65" s="29"/>
      <c r="C65" s="29" t="s">
        <v>0</v>
      </c>
      <c r="D65" s="30">
        <f>(D63-D61)*100/D63</f>
        <v>84.079947771317819</v>
      </c>
      <c r="E65" s="28"/>
      <c r="F65" s="29"/>
      <c r="G65" s="29" t="s">
        <v>0</v>
      </c>
      <c r="H65" s="30">
        <f>(H63-H61)*100/H63</f>
        <v>79.182198087431701</v>
      </c>
      <c r="I65" s="28"/>
      <c r="J65" s="29"/>
      <c r="K65" s="29" t="s">
        <v>0</v>
      </c>
      <c r="L65" s="30">
        <f>(L63-L61)*100/L63</f>
        <v>85.086988888888897</v>
      </c>
      <c r="M65" s="28"/>
      <c r="N65" s="29"/>
      <c r="O65" s="29" t="s">
        <v>0</v>
      </c>
      <c r="P65" s="30">
        <f>(P63-P61)*100/P63</f>
        <v>87.891619546247824</v>
      </c>
    </row>
    <row r="66" spans="1:16" ht="18.75" x14ac:dyDescent="0.25">
      <c r="A66" s="181" t="s">
        <v>963</v>
      </c>
      <c r="B66" s="182"/>
      <c r="C66" s="182"/>
      <c r="D66" s="183"/>
    </row>
    <row r="67" spans="1:16" x14ac:dyDescent="0.25">
      <c r="A67" s="37"/>
      <c r="B67" s="161" t="str">
        <f>IFERROR(VLOOKUP(A67,'TARIFS 12 2025'!#REF!,9,FALSE),"")</f>
        <v/>
      </c>
      <c r="C67" s="6" t="s">
        <v>934</v>
      </c>
      <c r="D67" s="38"/>
    </row>
    <row r="68" spans="1:16" x14ac:dyDescent="0.25">
      <c r="A68" s="33" t="s">
        <v>541</v>
      </c>
      <c r="B68" s="32">
        <f>IFERROR(VLOOKUP(A68,'TARIFS 12 2025'!B30:J552,9,FALSE),"")</f>
        <v>1.91</v>
      </c>
      <c r="C68" s="36">
        <v>10.25</v>
      </c>
      <c r="D68" s="34">
        <f t="shared" ref="D68:D71" si="13">+C68*B68</f>
        <v>19.577500000000001</v>
      </c>
    </row>
    <row r="69" spans="1:16" x14ac:dyDescent="0.25">
      <c r="A69" s="33" t="s">
        <v>96</v>
      </c>
      <c r="B69" s="32">
        <f>IFERROR(VLOOKUP(A69,'TARIFS 12 2025'!B31:J553,9,FALSE),"")/3</f>
        <v>6.4333333333333336</v>
      </c>
      <c r="C69" s="36">
        <v>1</v>
      </c>
      <c r="D69" s="34">
        <f t="shared" si="13"/>
        <v>6.4333333333333336</v>
      </c>
    </row>
    <row r="70" spans="1:16" x14ac:dyDescent="0.25">
      <c r="A70" s="33" t="s">
        <v>270</v>
      </c>
      <c r="B70" s="32">
        <f>IFERROR(VLOOKUP(A70,'TARIFS 12 2025'!B32:J554,9,FALSE),"")</f>
        <v>5.95</v>
      </c>
      <c r="C70" s="36">
        <v>1.25</v>
      </c>
      <c r="D70" s="34">
        <f t="shared" si="13"/>
        <v>7.4375</v>
      </c>
    </row>
    <row r="71" spans="1:16" x14ac:dyDescent="0.25">
      <c r="A71" s="33" t="s">
        <v>219</v>
      </c>
      <c r="B71" s="32">
        <f>IFERROR(VLOOKUP(A71,'TARIFS 12 2025'!B33:J555,9,FALSE),"")</f>
        <v>10.85</v>
      </c>
      <c r="C71" s="36">
        <v>1.2</v>
      </c>
      <c r="D71" s="34">
        <f t="shared" si="13"/>
        <v>13.02</v>
      </c>
    </row>
    <row r="72" spans="1:16" x14ac:dyDescent="0.25">
      <c r="A72" s="33"/>
      <c r="B72" s="32" t="str">
        <f>IFERROR(VLOOKUP(A72,'TARIFS 12 2025'!#REF!,9,FALSE),"")</f>
        <v/>
      </c>
      <c r="C72" s="36"/>
      <c r="D72" s="34"/>
    </row>
    <row r="73" spans="1:16" x14ac:dyDescent="0.25">
      <c r="A73" s="33"/>
      <c r="B73" s="32" t="str">
        <f>IFERROR(VLOOKUP(A73,'TARIFS 12 2025'!#REF!,9,FALSE),"")</f>
        <v/>
      </c>
      <c r="C73" s="36"/>
      <c r="D73" s="34"/>
    </row>
    <row r="74" spans="1:16" x14ac:dyDescent="0.25">
      <c r="A74" s="33"/>
      <c r="B74" s="32" t="str">
        <f>IFERROR(VLOOKUP(A74,'TARIFS 12 2025'!#REF!,9,FALSE),"")</f>
        <v/>
      </c>
      <c r="C74" s="36"/>
      <c r="D74" s="34"/>
    </row>
    <row r="75" spans="1:16" x14ac:dyDescent="0.25">
      <c r="A75" s="33"/>
      <c r="B75" s="32" t="str">
        <f>IFERROR(VLOOKUP(A75,'TARIFS 12 2025'!#REF!,9,FALSE),"")</f>
        <v/>
      </c>
      <c r="C75" s="36"/>
      <c r="D75" s="34"/>
    </row>
    <row r="76" spans="1:16" x14ac:dyDescent="0.25">
      <c r="A76" s="33"/>
      <c r="B76" s="32"/>
      <c r="C76" s="36"/>
      <c r="D76" s="34"/>
    </row>
    <row r="77" spans="1:16" x14ac:dyDescent="0.25">
      <c r="A77" s="33"/>
      <c r="B77" s="32"/>
      <c r="C77" s="36"/>
      <c r="D77" s="34"/>
    </row>
    <row r="78" spans="1:16" x14ac:dyDescent="0.25">
      <c r="A78" s="33"/>
      <c r="B78" s="32" t="str">
        <f>IFERROR(VLOOKUP(A78,'TARIFS 12 2025'!#REF!,9,FALSE),"")</f>
        <v/>
      </c>
      <c r="C78" s="36"/>
      <c r="D78" s="34"/>
    </row>
    <row r="79" spans="1:16" x14ac:dyDescent="0.25">
      <c r="A79" s="33"/>
      <c r="B79" s="32" t="str">
        <f>IFERROR(VLOOKUP(A79,'TARIFS 12 2025'!#REF!,9,FALSE),"")</f>
        <v/>
      </c>
      <c r="C79" s="36"/>
      <c r="D79" s="34"/>
    </row>
    <row r="80" spans="1:16" x14ac:dyDescent="0.25">
      <c r="A80" s="24"/>
      <c r="D80" s="25"/>
    </row>
    <row r="81" spans="1:4" x14ac:dyDescent="0.25">
      <c r="A81" s="24"/>
      <c r="C81" t="s">
        <v>967</v>
      </c>
      <c r="D81" s="26">
        <f>+SUM(D68:D79)</f>
        <v>46.468333333333334</v>
      </c>
    </row>
    <row r="82" spans="1:4" x14ac:dyDescent="0.25">
      <c r="A82" s="92"/>
      <c r="C82" t="s">
        <v>939</v>
      </c>
      <c r="D82" s="27">
        <f>+D81/120</f>
        <v>0.38723611111111111</v>
      </c>
    </row>
    <row r="83" spans="1:4" x14ac:dyDescent="0.25">
      <c r="A83" s="24"/>
      <c r="D83" s="25"/>
    </row>
    <row r="84" spans="1:4" x14ac:dyDescent="0.25">
      <c r="A84" s="24"/>
      <c r="C84" t="s">
        <v>941</v>
      </c>
      <c r="D84" s="27">
        <f>3.8*0.945</f>
        <v>3.5909999999999997</v>
      </c>
    </row>
    <row r="85" spans="1:4" ht="15.75" x14ac:dyDescent="0.25">
      <c r="A85" s="24"/>
      <c r="C85" t="s">
        <v>942</v>
      </c>
      <c r="D85" s="31">
        <f>+D84/D82</f>
        <v>9.2734120010042673</v>
      </c>
    </row>
    <row r="86" spans="1:4" x14ac:dyDescent="0.25">
      <c r="A86" s="28"/>
      <c r="B86" s="29"/>
      <c r="C86" s="29"/>
      <c r="D86" s="30"/>
    </row>
  </sheetData>
  <mergeCells count="13">
    <mergeCell ref="A2:D2"/>
    <mergeCell ref="E2:H2"/>
    <mergeCell ref="I2:L2"/>
    <mergeCell ref="M2:P2"/>
    <mergeCell ref="A24:D24"/>
    <mergeCell ref="E24:H24"/>
    <mergeCell ref="I24:L24"/>
    <mergeCell ref="M24:P24"/>
    <mergeCell ref="A66:D66"/>
    <mergeCell ref="A45:D45"/>
    <mergeCell ref="E45:H45"/>
    <mergeCell ref="I45:L45"/>
    <mergeCell ref="M45:P45"/>
  </mergeCells>
  <conditionalFormatting sqref="D21">
    <cfRule type="cellIs" dxfId="215" priority="40" operator="greaterThan">
      <formula>$B$1</formula>
    </cfRule>
    <cfRule type="cellIs" dxfId="214" priority="41" operator="between">
      <formula>$B$1/2</formula>
      <formula>$B$1</formula>
    </cfRule>
    <cfRule type="cellIs" dxfId="213" priority="42" operator="lessThan">
      <formula>$B$1/2</formula>
    </cfRule>
  </conditionalFormatting>
  <conditionalFormatting sqref="D43">
    <cfRule type="cellIs" dxfId="212" priority="28" operator="greaterThan">
      <formula>$B$1</formula>
    </cfRule>
    <cfRule type="cellIs" dxfId="211" priority="29" operator="between">
      <formula>$B$1/2</formula>
      <formula>$B$1</formula>
    </cfRule>
    <cfRule type="cellIs" dxfId="210" priority="30" operator="lessThan">
      <formula>$B$1/2</formula>
    </cfRule>
  </conditionalFormatting>
  <conditionalFormatting sqref="D64 H64 L64 P64">
    <cfRule type="cellIs" dxfId="209" priority="4" operator="greaterThan">
      <formula>$B$1</formula>
    </cfRule>
    <cfRule type="cellIs" dxfId="208" priority="5" operator="between">
      <formula>$B$1/2</formula>
      <formula>$B$1</formula>
    </cfRule>
    <cfRule type="cellIs" dxfId="207" priority="6" operator="lessThan">
      <formula>$B$1/2</formula>
    </cfRule>
  </conditionalFormatting>
  <conditionalFormatting sqref="D85">
    <cfRule type="cellIs" dxfId="206" priority="1" operator="greaterThan">
      <formula>$B$1</formula>
    </cfRule>
    <cfRule type="cellIs" dxfId="205" priority="2" operator="between">
      <formula>$B$1/2</formula>
      <formula>$B$1</formula>
    </cfRule>
    <cfRule type="cellIs" dxfId="204" priority="3" operator="lessThan">
      <formula>$B$1/2</formula>
    </cfRule>
  </conditionalFormatting>
  <conditionalFormatting sqref="H21">
    <cfRule type="cellIs" dxfId="203" priority="37" operator="greaterThan">
      <formula>$B$1</formula>
    </cfRule>
    <cfRule type="cellIs" dxfId="202" priority="38" operator="between">
      <formula>$B$1/2</formula>
      <formula>$B$1</formula>
    </cfRule>
    <cfRule type="cellIs" dxfId="201" priority="39" operator="lessThan">
      <formula>$B$1/2</formula>
    </cfRule>
  </conditionalFormatting>
  <conditionalFormatting sqref="H43">
    <cfRule type="cellIs" dxfId="200" priority="25" operator="greaterThan">
      <formula>$B$1</formula>
    </cfRule>
    <cfRule type="cellIs" dxfId="199" priority="26" operator="between">
      <formula>$B$1/2</formula>
      <formula>$B$1</formula>
    </cfRule>
    <cfRule type="cellIs" dxfId="198" priority="27" operator="lessThan">
      <formula>$B$1/2</formula>
    </cfRule>
  </conditionalFormatting>
  <conditionalFormatting sqref="L21">
    <cfRule type="cellIs" dxfId="197" priority="34" operator="greaterThan">
      <formula>$B$1</formula>
    </cfRule>
    <cfRule type="cellIs" dxfId="196" priority="35" operator="between">
      <formula>$B$1/2</formula>
      <formula>$B$1</formula>
    </cfRule>
    <cfRule type="cellIs" dxfId="195" priority="36" operator="lessThan">
      <formula>$B$1/2</formula>
    </cfRule>
  </conditionalFormatting>
  <conditionalFormatting sqref="L43">
    <cfRule type="cellIs" dxfId="194" priority="22" operator="greaterThan">
      <formula>$B$1</formula>
    </cfRule>
    <cfRule type="cellIs" dxfId="193" priority="23" operator="between">
      <formula>$B$1/2</formula>
      <formula>$B$1</formula>
    </cfRule>
    <cfRule type="cellIs" dxfId="192" priority="24" operator="lessThan">
      <formula>$B$1/2</formula>
    </cfRule>
  </conditionalFormatting>
  <conditionalFormatting sqref="P21">
    <cfRule type="cellIs" dxfId="191" priority="31" operator="greaterThan">
      <formula>$B$1</formula>
    </cfRule>
    <cfRule type="cellIs" dxfId="190" priority="32" operator="between">
      <formula>$B$1/2</formula>
      <formula>$B$1</formula>
    </cfRule>
    <cfRule type="cellIs" dxfId="189" priority="33" operator="lessThan">
      <formula>$B$1/2</formula>
    </cfRule>
  </conditionalFormatting>
  <conditionalFormatting sqref="P43">
    <cfRule type="cellIs" dxfId="188" priority="19" operator="greaterThan">
      <formula>$B$1</formula>
    </cfRule>
    <cfRule type="cellIs" dxfId="187" priority="20" operator="between">
      <formula>$B$1/2</formula>
      <formula>$B$1</formula>
    </cfRule>
    <cfRule type="cellIs" dxfId="186" priority="21" operator="lessThan">
      <formula>$B$1/2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C89906-3575-4D82-9B31-90C610A56BE9}">
          <x14:formula1>
            <xm:f>'TARIFS 12 2025'!$B:$B</xm:f>
          </x14:formula1>
          <xm:sqref>A4:A15 A68:A79 M47:M58 I26:I37 A26:A37 M4:M15 I4:I15 E4:E15 I47:I58 M26:M37 A47:A58 E47:E58 E26:E37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C195-20D5-4A8E-930A-0CF1063D5C0C}">
  <sheetPr codeName="Feuil6">
    <tabColor theme="5" tint="0.59999389629810485"/>
  </sheetPr>
  <dimension ref="A1:P44"/>
  <sheetViews>
    <sheetView topLeftCell="E9" zoomScale="90" zoomScaleNormal="90" workbookViewId="0">
      <selection activeCell="E9" sqref="E9"/>
    </sheetView>
  </sheetViews>
  <sheetFormatPr baseColWidth="10" defaultColWidth="10.7109375" defaultRowHeight="15" x14ac:dyDescent="0.25"/>
  <cols>
    <col min="1" max="1" width="33.7109375" customWidth="1"/>
    <col min="4" max="4" width="11.42578125" customWidth="1"/>
    <col min="5" max="5" width="33.7109375" customWidth="1"/>
    <col min="9" max="9" width="33.7109375" customWidth="1"/>
    <col min="13" max="13" width="33.7109375" customWidth="1"/>
  </cols>
  <sheetData>
    <row r="1" spans="1:16" ht="15.75" thickBot="1" x14ac:dyDescent="0.3">
      <c r="A1" s="39" t="s">
        <v>928</v>
      </c>
      <c r="B1" s="40">
        <v>8</v>
      </c>
    </row>
    <row r="2" spans="1:16" ht="22.5" customHeight="1" thickBot="1" x14ac:dyDescent="0.3">
      <c r="A2" s="174" t="s">
        <v>976</v>
      </c>
      <c r="B2" s="175"/>
      <c r="C2" s="175"/>
      <c r="D2" s="176"/>
      <c r="E2" s="174" t="s">
        <v>977</v>
      </c>
      <c r="F2" s="175"/>
      <c r="G2" s="175"/>
      <c r="H2" s="176"/>
      <c r="I2" s="174" t="s">
        <v>978</v>
      </c>
      <c r="J2" s="175"/>
      <c r="K2" s="175"/>
      <c r="L2" s="176"/>
      <c r="M2" s="174"/>
      <c r="N2" s="175"/>
      <c r="O2" s="175"/>
      <c r="P2" s="176"/>
    </row>
    <row r="3" spans="1:16" x14ac:dyDescent="0.25">
      <c r="A3" s="37"/>
      <c r="B3" s="6" t="s">
        <v>933</v>
      </c>
      <c r="C3" s="6" t="s">
        <v>934</v>
      </c>
      <c r="D3" s="38"/>
      <c r="E3" s="37"/>
      <c r="F3" s="6" t="s">
        <v>933</v>
      </c>
      <c r="G3" s="6" t="s">
        <v>934</v>
      </c>
      <c r="H3" s="38"/>
      <c r="I3" s="37"/>
      <c r="J3" s="6" t="s">
        <v>933</v>
      </c>
      <c r="K3" s="6" t="s">
        <v>934</v>
      </c>
      <c r="L3" s="38"/>
      <c r="M3" s="37"/>
      <c r="N3" s="6" t="s">
        <v>933</v>
      </c>
      <c r="O3" s="6" t="s">
        <v>934</v>
      </c>
      <c r="P3" s="38"/>
    </row>
    <row r="4" spans="1:16" x14ac:dyDescent="0.25">
      <c r="A4" s="33" t="s">
        <v>310</v>
      </c>
      <c r="B4" s="32">
        <f>IFERROR(VLOOKUP(A4,'TARIFS 12 2025'!B3:J461,9,FALSE),"")</f>
        <v>0.995</v>
      </c>
      <c r="C4" s="36">
        <v>1</v>
      </c>
      <c r="D4" s="34">
        <f>+C4*B4</f>
        <v>0.995</v>
      </c>
      <c r="E4" s="33" t="s">
        <v>314</v>
      </c>
      <c r="F4" s="32">
        <f>IFERROR(VLOOKUP(E4,'TARIFS 12 2025'!B3:J466,9,FALSE),"")</f>
        <v>0.70499999999999996</v>
      </c>
      <c r="G4" s="36">
        <v>1</v>
      </c>
      <c r="H4" s="34">
        <f>+G4*F4</f>
        <v>0.70499999999999996</v>
      </c>
      <c r="I4" s="33" t="s">
        <v>314</v>
      </c>
      <c r="J4" s="32">
        <f>IFERROR(VLOOKUP(I4,'TARIFS 12 2025'!B3:J502,9,FALSE),"")</f>
        <v>0.70499999999999996</v>
      </c>
      <c r="K4" s="36">
        <v>1</v>
      </c>
      <c r="L4" s="34">
        <f>+K4*J4</f>
        <v>0.70499999999999996</v>
      </c>
      <c r="M4" s="33"/>
      <c r="N4" s="32" t="str">
        <f>IFERROR(VLOOKUP(M4,'TARIFS 12 2025'!B3:J510,9,FALSE),"")</f>
        <v/>
      </c>
      <c r="O4" s="36"/>
      <c r="P4" s="34" t="e">
        <f>+O4*N4</f>
        <v>#VALUE!</v>
      </c>
    </row>
    <row r="5" spans="1:16" x14ac:dyDescent="0.25">
      <c r="A5" s="33" t="s">
        <v>272</v>
      </c>
      <c r="B5" s="32">
        <f>IFERROR(VLOOKUP(A5,'TARIFS 12 2025'!B4:J461,9,FALSE),"")</f>
        <v>4.0000000000000001E-3</v>
      </c>
      <c r="C5" s="36">
        <v>0.7</v>
      </c>
      <c r="D5" s="34">
        <f t="shared" ref="D5:D8" si="0">+C5*B5</f>
        <v>2.8E-3</v>
      </c>
      <c r="E5" s="33" t="s">
        <v>272</v>
      </c>
      <c r="F5" s="32">
        <f>IFERROR(VLOOKUP(E5,'TARIFS 12 2025'!B4:J469,9,FALSE),"")</f>
        <v>4.0000000000000001E-3</v>
      </c>
      <c r="G5" s="36">
        <v>0.73</v>
      </c>
      <c r="H5" s="34">
        <f t="shared" ref="H5:H8" si="1">+G5*F5</f>
        <v>2.9199999999999999E-3</v>
      </c>
      <c r="I5" s="33" t="s">
        <v>272</v>
      </c>
      <c r="J5" s="32">
        <f>IFERROR(VLOOKUP(I5,'TARIFS 12 2025'!B4:J503,9,FALSE),"")</f>
        <v>4.0000000000000001E-3</v>
      </c>
      <c r="K5" s="36">
        <v>0.73</v>
      </c>
      <c r="L5" s="34">
        <f t="shared" ref="L5:L10" si="2">+K5*J5</f>
        <v>2.9199999999999999E-3</v>
      </c>
      <c r="M5" s="33"/>
      <c r="N5" s="32" t="str">
        <f>IFERROR(VLOOKUP(M5,'TARIFS 12 2025'!B4:J511,9,FALSE),"")</f>
        <v/>
      </c>
      <c r="O5" s="36"/>
      <c r="P5" s="34" t="e">
        <f t="shared" ref="P5:P9" si="3">+O5*N5</f>
        <v>#VALUE!</v>
      </c>
    </row>
    <row r="6" spans="1:16" x14ac:dyDescent="0.25">
      <c r="A6" s="33" t="s">
        <v>831</v>
      </c>
      <c r="B6" s="32">
        <f>IFERROR(VLOOKUP(A6,'TARIFS 12 2025'!B5:J462,9,FALSE),"")</f>
        <v>0.27</v>
      </c>
      <c r="C6" s="36">
        <v>2.1999999999999999E-2</v>
      </c>
      <c r="D6" s="34">
        <f t="shared" si="0"/>
        <v>5.94E-3</v>
      </c>
      <c r="E6" s="33" t="s">
        <v>831</v>
      </c>
      <c r="F6" s="32">
        <f>IFERROR(VLOOKUP(E6,'TARIFS 12 2025'!B5:J470,9,FALSE),"")</f>
        <v>0.27</v>
      </c>
      <c r="G6" s="36">
        <v>2.1999999999999999E-2</v>
      </c>
      <c r="H6" s="34">
        <f t="shared" si="1"/>
        <v>5.94E-3</v>
      </c>
      <c r="I6" s="33" t="s">
        <v>831</v>
      </c>
      <c r="J6" s="32">
        <f>IFERROR(VLOOKUP(I6,'TARIFS 12 2025'!B5:J504,9,FALSE),"")</f>
        <v>0.27</v>
      </c>
      <c r="K6" s="36">
        <v>2.1999999999999999E-2</v>
      </c>
      <c r="L6" s="34">
        <f t="shared" si="2"/>
        <v>5.94E-3</v>
      </c>
      <c r="M6" s="33"/>
      <c r="N6" s="32" t="str">
        <f>IFERROR(VLOOKUP(M6,'TARIFS 12 2025'!B5:J512,9,FALSE),"")</f>
        <v/>
      </c>
      <c r="O6" s="36"/>
      <c r="P6" s="34" t="e">
        <f t="shared" si="3"/>
        <v>#VALUE!</v>
      </c>
    </row>
    <row r="7" spans="1:16" x14ac:dyDescent="0.25">
      <c r="A7" s="33" t="s">
        <v>436</v>
      </c>
      <c r="B7" s="32">
        <f>IFERROR(VLOOKUP(A7,'TARIFS 12 2025'!B6:J463,9,FALSE),"")</f>
        <v>3.45</v>
      </c>
      <c r="C7" s="36">
        <v>5.0000000000000001E-3</v>
      </c>
      <c r="D7" s="34">
        <f t="shared" si="0"/>
        <v>1.7250000000000001E-2</v>
      </c>
      <c r="E7" s="33" t="s">
        <v>436</v>
      </c>
      <c r="F7" s="32">
        <f>IFERROR(VLOOKUP(E7,'TARIFS 12 2025'!B6:J471,9,FALSE),"")</f>
        <v>3.45</v>
      </c>
      <c r="G7" s="36">
        <v>6.0000000000000001E-3</v>
      </c>
      <c r="H7" s="34">
        <f t="shared" si="1"/>
        <v>2.0700000000000003E-2</v>
      </c>
      <c r="I7" s="33" t="s">
        <v>436</v>
      </c>
      <c r="J7" s="32">
        <f>IFERROR(VLOOKUP(I7,'TARIFS 12 2025'!B6:J505,9,FALSE),"")</f>
        <v>3.45</v>
      </c>
      <c r="K7" s="36">
        <v>6.0000000000000001E-3</v>
      </c>
      <c r="L7" s="34">
        <f t="shared" si="2"/>
        <v>2.0700000000000003E-2</v>
      </c>
      <c r="M7" s="33"/>
      <c r="N7" s="32" t="str">
        <f>IFERROR(VLOOKUP(M7,'TARIFS 12 2025'!B6:J513,9,FALSE),"")</f>
        <v/>
      </c>
      <c r="O7" s="36"/>
      <c r="P7" s="34" t="e">
        <f t="shared" si="3"/>
        <v>#VALUE!</v>
      </c>
    </row>
    <row r="8" spans="1:16" x14ac:dyDescent="0.25">
      <c r="A8" s="33" t="s">
        <v>430</v>
      </c>
      <c r="B8" s="32">
        <f>IFERROR(VLOOKUP(A8,'TARIFS 12 2025'!B7:J463,9,FALSE),"")</f>
        <v>0.71633333333333338</v>
      </c>
      <c r="C8" s="36">
        <v>0.1</v>
      </c>
      <c r="D8" s="34">
        <f t="shared" si="0"/>
        <v>7.1633333333333341E-2</v>
      </c>
      <c r="E8" s="33" t="s">
        <v>430</v>
      </c>
      <c r="F8" s="32">
        <f>IFERROR(VLOOKUP(E8,'TARIFS 12 2025'!B7:J472,9,FALSE),"")</f>
        <v>0.71633333333333338</v>
      </c>
      <c r="G8" s="36">
        <v>0.1</v>
      </c>
      <c r="H8" s="34">
        <f t="shared" si="1"/>
        <v>7.1633333333333341E-2</v>
      </c>
      <c r="I8" s="33" t="s">
        <v>430</v>
      </c>
      <c r="J8" s="32">
        <f>IFERROR(VLOOKUP(I8,'TARIFS 12 2025'!B7:J506,9,FALSE),"")</f>
        <v>0.71633333333333338</v>
      </c>
      <c r="K8" s="36">
        <v>0.1</v>
      </c>
      <c r="L8" s="34">
        <f t="shared" si="2"/>
        <v>7.1633333333333341E-2</v>
      </c>
      <c r="M8" s="33"/>
      <c r="N8" s="32" t="str">
        <f>IFERROR(VLOOKUP(M8,'TARIFS 12 2025'!B7:J514,9,FALSE),"")</f>
        <v/>
      </c>
      <c r="O8" s="36"/>
      <c r="P8" s="34" t="e">
        <f t="shared" si="3"/>
        <v>#VALUE!</v>
      </c>
    </row>
    <row r="9" spans="1:16" x14ac:dyDescent="0.25">
      <c r="A9" s="33"/>
      <c r="B9" s="32" t="str">
        <f>IFERROR(VLOOKUP(A9,'TARIFS 12 2025'!B8:J464,9,FALSE),"")</f>
        <v/>
      </c>
      <c r="C9" s="36"/>
      <c r="D9" s="34"/>
      <c r="E9" s="33"/>
      <c r="F9" s="32" t="str">
        <f>IFERROR(VLOOKUP(E9,'TARIFS 12 2025'!B8:J473,9,FALSE),"")</f>
        <v/>
      </c>
      <c r="G9" s="36"/>
      <c r="H9" s="34"/>
      <c r="I9" s="33" t="s">
        <v>449</v>
      </c>
      <c r="J9" s="32">
        <f>IFERROR(VLOOKUP(I9,'TARIFS 12 2025'!B8:J507,9,FALSE),"")</f>
        <v>2.11</v>
      </c>
      <c r="K9" s="36">
        <v>0.1</v>
      </c>
      <c r="L9" s="34">
        <f t="shared" si="2"/>
        <v>0.21099999999999999</v>
      </c>
      <c r="M9" s="33"/>
      <c r="N9" s="32" t="str">
        <f>IFERROR(VLOOKUP(M9,'TARIFS 12 2025'!B8:J515,9,FALSE),"")</f>
        <v/>
      </c>
      <c r="O9" s="36"/>
      <c r="P9" s="34" t="e">
        <f t="shared" si="3"/>
        <v>#VALUE!</v>
      </c>
    </row>
    <row r="10" spans="1:16" x14ac:dyDescent="0.25">
      <c r="A10" s="33"/>
      <c r="B10" s="32" t="str">
        <f>IFERROR(VLOOKUP(A10,'TARIFS 12 2025'!B9:J465,9,FALSE),"")</f>
        <v/>
      </c>
      <c r="C10" s="36"/>
      <c r="D10" s="34"/>
      <c r="E10" s="33"/>
      <c r="F10" s="32" t="str">
        <f>IFERROR(VLOOKUP(E10,'TARIFS 12 2025'!B9:J474,9,FALSE),"")</f>
        <v/>
      </c>
      <c r="G10" s="36"/>
      <c r="H10" s="34"/>
      <c r="I10" s="33" t="s">
        <v>272</v>
      </c>
      <c r="J10" s="32">
        <f>IFERROR(VLOOKUP(I10,'TARIFS 12 2025'!B9:J508,9,FALSE),"")</f>
        <v>4.0000000000000001E-3</v>
      </c>
      <c r="K10" s="36">
        <v>0.1</v>
      </c>
      <c r="L10" s="34">
        <f t="shared" si="2"/>
        <v>4.0000000000000002E-4</v>
      </c>
      <c r="M10" s="33"/>
      <c r="N10" s="32" t="str">
        <f>IFERROR(VLOOKUP(M10,'TARIFS 12 2025'!B9:J516,9,FALSE),"")</f>
        <v/>
      </c>
      <c r="O10" s="36"/>
      <c r="P10" s="34"/>
    </row>
    <row r="11" spans="1:16" x14ac:dyDescent="0.25">
      <c r="A11" s="33"/>
      <c r="B11" s="32" t="str">
        <f>IFERROR(VLOOKUP(A11,'TARIFS 12 2025'!B10:J466,9,FALSE),"")</f>
        <v/>
      </c>
      <c r="C11" s="36"/>
      <c r="D11" s="34"/>
      <c r="E11" s="33"/>
      <c r="F11" s="32"/>
      <c r="G11" s="36"/>
      <c r="H11" s="34"/>
      <c r="I11" s="33"/>
      <c r="J11" s="32" t="str">
        <f>IFERROR(VLOOKUP(I11,'TARIFS 12 2025'!B10:J509,9,FALSE),"")</f>
        <v/>
      </c>
      <c r="K11" s="36"/>
      <c r="L11" s="34"/>
      <c r="M11" s="33"/>
      <c r="N11" s="32" t="str">
        <f>IFERROR(VLOOKUP(M11,'TARIFS 12 2025'!B10:J517,9,FALSE),"")</f>
        <v/>
      </c>
      <c r="O11" s="36"/>
      <c r="P11" s="34"/>
    </row>
    <row r="12" spans="1:16" x14ac:dyDescent="0.25">
      <c r="A12" s="33"/>
      <c r="B12" s="32" t="str">
        <f>IFERROR(VLOOKUP(A12,'TARIFS 12 2025'!B11:J469,9,FALSE),"")</f>
        <v/>
      </c>
      <c r="C12" s="36"/>
      <c r="D12" s="34"/>
      <c r="E12" s="33"/>
      <c r="F12" s="32"/>
      <c r="G12" s="36"/>
      <c r="H12" s="34"/>
      <c r="I12" s="33"/>
      <c r="J12" s="32" t="str">
        <f>IFERROR(VLOOKUP(I12,'TARIFS 12 2025'!B11:J510,9,FALSE),"")</f>
        <v/>
      </c>
      <c r="K12" s="36"/>
      <c r="L12" s="34"/>
      <c r="M12" s="33"/>
      <c r="N12" s="32" t="str">
        <f>IFERROR(VLOOKUP(M12,'TARIFS 12 2025'!B11:J518,9,FALSE),"")</f>
        <v/>
      </c>
      <c r="O12" s="36"/>
      <c r="P12" s="34"/>
    </row>
    <row r="13" spans="1:16" x14ac:dyDescent="0.25">
      <c r="A13" s="33"/>
      <c r="B13" s="32" t="str">
        <f>IFERROR(VLOOKUP(A13,'TARIFS 12 2025'!B12:J470,9,FALSE),"")</f>
        <v/>
      </c>
      <c r="C13" s="36"/>
      <c r="D13" s="34"/>
      <c r="E13" s="33"/>
      <c r="F13" s="32"/>
      <c r="G13" s="36"/>
      <c r="H13" s="34"/>
      <c r="I13" s="33"/>
      <c r="J13" s="32" t="str">
        <f>IFERROR(VLOOKUP(I13,'TARIFS 12 2025'!B12:J511,9,FALSE),"")</f>
        <v/>
      </c>
      <c r="K13" s="36"/>
      <c r="L13" s="34"/>
      <c r="M13" s="33"/>
      <c r="N13" s="32" t="str">
        <f>IFERROR(VLOOKUP(M13,'TARIFS 12 2025'!B12:J519,9,FALSE),"")</f>
        <v/>
      </c>
      <c r="O13" s="36"/>
      <c r="P13" s="34"/>
    </row>
    <row r="14" spans="1:16" x14ac:dyDescent="0.25">
      <c r="A14" s="33"/>
      <c r="B14" s="32" t="str">
        <f>IFERROR(VLOOKUP(A14,'TARIFS 12 2025'!B13:J471,9,FALSE),"")</f>
        <v/>
      </c>
      <c r="C14" s="36"/>
      <c r="D14" s="34"/>
      <c r="E14" s="33"/>
      <c r="F14" s="32"/>
      <c r="G14" s="36"/>
      <c r="H14" s="34"/>
      <c r="I14" s="33"/>
      <c r="J14" s="32" t="str">
        <f>IFERROR(VLOOKUP(I14,'TARIFS 12 2025'!B13:J512,9,FALSE),"")</f>
        <v/>
      </c>
      <c r="K14" s="36"/>
      <c r="L14" s="34"/>
      <c r="M14" s="33"/>
      <c r="N14" s="32" t="str">
        <f>IFERROR(VLOOKUP(M14,'TARIFS 12 2025'!B13:J520,9,FALSE),"")</f>
        <v/>
      </c>
      <c r="O14" s="36"/>
      <c r="P14" s="34"/>
    </row>
    <row r="15" spans="1:16" x14ac:dyDescent="0.25">
      <c r="A15" s="33"/>
      <c r="B15" s="32"/>
      <c r="C15" s="36"/>
      <c r="D15" s="34"/>
      <c r="E15" s="33"/>
      <c r="F15" s="32"/>
      <c r="G15" s="36"/>
      <c r="H15" s="34"/>
      <c r="I15" s="33"/>
      <c r="J15" s="32" t="str">
        <f>IFERROR(VLOOKUP(I15,'TARIFS 12 2025'!B14:J513,9,FALSE),"")</f>
        <v/>
      </c>
      <c r="K15" s="36"/>
      <c r="L15" s="34"/>
      <c r="M15" s="33"/>
      <c r="N15" s="32" t="str">
        <f>IFERROR(VLOOKUP(M15,'TARIFS 12 2025'!B14:J521,9,FALSE),"")</f>
        <v/>
      </c>
      <c r="O15" s="36"/>
      <c r="P15" s="34"/>
    </row>
    <row r="16" spans="1:16" x14ac:dyDescent="0.25">
      <c r="A16" s="24"/>
      <c r="D16" s="25"/>
      <c r="E16" s="24"/>
      <c r="H16" s="25"/>
      <c r="I16" s="24"/>
      <c r="L16" s="25"/>
      <c r="M16" s="24"/>
      <c r="P16" s="25"/>
    </row>
    <row r="17" spans="1:16" x14ac:dyDescent="0.25">
      <c r="A17" s="24"/>
      <c r="C17" t="s">
        <v>979</v>
      </c>
      <c r="D17" s="26">
        <f>+SUM(D4:D15)</f>
        <v>1.0926233333333335</v>
      </c>
      <c r="E17" s="24"/>
      <c r="G17" t="s">
        <v>980</v>
      </c>
      <c r="H17" s="26">
        <f>+SUM(H4:H15)</f>
        <v>0.80619333333333332</v>
      </c>
      <c r="I17" s="24"/>
      <c r="K17" t="s">
        <v>981</v>
      </c>
      <c r="L17" s="26">
        <f>+SUM(L4:L15)</f>
        <v>1.0175933333333333</v>
      </c>
      <c r="M17" s="24"/>
      <c r="O17" t="s">
        <v>938</v>
      </c>
      <c r="P17" s="26" t="e">
        <f>+SUM(P4:P15)</f>
        <v>#VALUE!</v>
      </c>
    </row>
    <row r="18" spans="1:16" x14ac:dyDescent="0.25">
      <c r="A18" s="24"/>
      <c r="C18" t="s">
        <v>939</v>
      </c>
      <c r="D18" s="27">
        <f>+D17/5.3</f>
        <v>0.20615534591194973</v>
      </c>
      <c r="E18" s="24"/>
      <c r="G18" t="s">
        <v>939</v>
      </c>
      <c r="H18" s="27">
        <f>+H17/7.15</f>
        <v>0.11275431235431235</v>
      </c>
      <c r="I18" s="24"/>
      <c r="K18" t="s">
        <v>939</v>
      </c>
      <c r="L18" s="27">
        <f>+L17/7.22</f>
        <v>0.1409409048938135</v>
      </c>
      <c r="M18" s="24"/>
      <c r="O18" t="s">
        <v>939</v>
      </c>
      <c r="P18" s="27" t="e">
        <f>+P17/4.73</f>
        <v>#VALUE!</v>
      </c>
    </row>
    <row r="19" spans="1:16" x14ac:dyDescent="0.25">
      <c r="A19" s="24"/>
      <c r="D19" s="25"/>
      <c r="E19" s="24"/>
      <c r="H19" s="25"/>
      <c r="I19" s="24"/>
      <c r="L19" s="25"/>
      <c r="M19" s="24">
        <v>9445</v>
      </c>
      <c r="P19" s="25"/>
    </row>
    <row r="20" spans="1:16" x14ac:dyDescent="0.25">
      <c r="A20" s="24"/>
      <c r="C20" t="s">
        <v>941</v>
      </c>
      <c r="D20" s="27">
        <v>2.74</v>
      </c>
      <c r="E20" s="24"/>
      <c r="G20" t="s">
        <v>941</v>
      </c>
      <c r="H20" s="27">
        <v>1.0900000000000001</v>
      </c>
      <c r="I20" s="24"/>
      <c r="K20" t="s">
        <v>941</v>
      </c>
      <c r="L20" s="27">
        <v>1.323</v>
      </c>
      <c r="M20" s="24"/>
      <c r="O20" t="s">
        <v>941</v>
      </c>
      <c r="P20" s="27">
        <v>0.66149999999999998</v>
      </c>
    </row>
    <row r="21" spans="1:16" ht="15.75" x14ac:dyDescent="0.25">
      <c r="A21" s="24"/>
      <c r="C21" t="s">
        <v>942</v>
      </c>
      <c r="D21" s="31">
        <f>+D20/D18</f>
        <v>13.290948085189466</v>
      </c>
      <c r="E21" s="24"/>
      <c r="G21" t="s">
        <v>942</v>
      </c>
      <c r="H21" s="31">
        <f>+H20/H18</f>
        <v>9.6670360294056845</v>
      </c>
      <c r="I21" s="24"/>
      <c r="K21" t="s">
        <v>942</v>
      </c>
      <c r="L21" s="31">
        <f>+L20/L18</f>
        <v>9.3869129121653039</v>
      </c>
      <c r="M21" s="24"/>
      <c r="O21" t="s">
        <v>942</v>
      </c>
      <c r="P21" s="31" t="e">
        <f>+P20/P18</f>
        <v>#VALUE!</v>
      </c>
    </row>
    <row r="22" spans="1:16" ht="15.75" thickBot="1" x14ac:dyDescent="0.3">
      <c r="A22" s="28"/>
      <c r="B22" s="29"/>
      <c r="C22" s="29"/>
      <c r="D22" s="30"/>
      <c r="E22" s="28"/>
      <c r="F22" s="29"/>
      <c r="G22" s="29"/>
      <c r="H22" s="30"/>
      <c r="I22" s="28"/>
      <c r="J22" s="29"/>
      <c r="K22" s="29"/>
      <c r="L22" s="30"/>
      <c r="M22" s="28"/>
      <c r="N22" s="29"/>
      <c r="O22" s="29"/>
      <c r="P22" s="30"/>
    </row>
    <row r="23" spans="1:16" ht="15.75" thickBot="1" x14ac:dyDescent="0.3"/>
    <row r="24" spans="1:16" ht="24.75" customHeight="1" thickBot="1" x14ac:dyDescent="0.3">
      <c r="A24" s="174" t="s">
        <v>962</v>
      </c>
      <c r="B24" s="175"/>
      <c r="C24" s="175"/>
      <c r="D24" s="176"/>
      <c r="E24" s="174"/>
      <c r="F24" s="175"/>
      <c r="G24" s="175"/>
      <c r="H24" s="176"/>
      <c r="I24" s="174"/>
      <c r="J24" s="175"/>
      <c r="K24" s="175"/>
      <c r="L24" s="176"/>
      <c r="M24" s="174"/>
      <c r="N24" s="175"/>
      <c r="O24" s="175"/>
      <c r="P24" s="176"/>
    </row>
    <row r="25" spans="1:16" x14ac:dyDescent="0.25">
      <c r="A25" s="37"/>
      <c r="B25" s="6" t="s">
        <v>933</v>
      </c>
      <c r="C25" s="6" t="s">
        <v>934</v>
      </c>
      <c r="D25" s="38"/>
      <c r="E25" s="37"/>
      <c r="F25" s="6" t="s">
        <v>933</v>
      </c>
      <c r="G25" s="6" t="s">
        <v>934</v>
      </c>
      <c r="H25" s="38"/>
      <c r="I25" s="37"/>
      <c r="J25" s="6" t="s">
        <v>933</v>
      </c>
      <c r="K25" s="6" t="s">
        <v>934</v>
      </c>
      <c r="L25" s="38"/>
      <c r="M25" s="37"/>
      <c r="N25" s="6" t="s">
        <v>933</v>
      </c>
      <c r="O25" s="6" t="s">
        <v>934</v>
      </c>
      <c r="P25" s="38"/>
    </row>
    <row r="26" spans="1:16" x14ac:dyDescent="0.25">
      <c r="A26" s="33"/>
      <c r="B26" s="32" t="str">
        <f>IFERROR(VLOOKUP(A26,'TARIFS 12 2025'!B3:J525,9,FALSE),"")</f>
        <v/>
      </c>
      <c r="C26" s="36"/>
      <c r="D26" s="34" t="e">
        <f>+C26*B26</f>
        <v>#VALUE!</v>
      </c>
      <c r="E26" s="33"/>
      <c r="F26" s="32" t="str">
        <f>IFERROR(VLOOKUP(E26,'TARIFS 12 2025'!B3:J493,9,FALSE),"")</f>
        <v/>
      </c>
      <c r="G26" s="36"/>
      <c r="H26" s="34" t="e">
        <f>+G26*F26</f>
        <v>#VALUE!</v>
      </c>
      <c r="I26" s="33"/>
      <c r="J26" s="32" t="str">
        <f>IFERROR(VLOOKUP(I26,'TARIFS 12 2025'!B3:J491,9,FALSE),"")</f>
        <v/>
      </c>
      <c r="K26" s="36"/>
      <c r="L26" s="34" t="e">
        <f>+K26*J26</f>
        <v>#VALUE!</v>
      </c>
      <c r="M26" s="33"/>
      <c r="N26" s="32" t="str">
        <f>IFERROR(VLOOKUP(M26,'TARIFS 12 2025'!B3:J501,9,FALSE),"")</f>
        <v/>
      </c>
      <c r="O26" s="36"/>
      <c r="P26" s="34" t="e">
        <f>+O26*N26</f>
        <v>#VALUE!</v>
      </c>
    </row>
    <row r="27" spans="1:16" x14ac:dyDescent="0.25">
      <c r="A27" s="33"/>
      <c r="B27" s="32" t="str">
        <f>IFERROR(VLOOKUP(A27,'TARIFS 12 2025'!B4:J526,9,FALSE),"")</f>
        <v/>
      </c>
      <c r="C27" s="36"/>
      <c r="D27" s="34" t="e">
        <f t="shared" ref="D27:D32" si="4">+C27*B27</f>
        <v>#VALUE!</v>
      </c>
      <c r="E27" s="33"/>
      <c r="F27" s="32" t="str">
        <f>IFERROR(VLOOKUP(E27,'TARIFS 12 2025'!B4:J494,9,FALSE),"")</f>
        <v/>
      </c>
      <c r="G27" s="36"/>
      <c r="H27" s="34" t="e">
        <f t="shared" ref="H27:H34" si="5">+G27*F27</f>
        <v>#VALUE!</v>
      </c>
      <c r="I27" s="33"/>
      <c r="J27" s="32" t="str">
        <f>IFERROR(VLOOKUP(I27,'TARIFS 12 2025'!B4:J492,9,FALSE),"")</f>
        <v/>
      </c>
      <c r="K27" s="36"/>
      <c r="L27" s="34" t="e">
        <f t="shared" ref="L27:L35" si="6">+K27*J27</f>
        <v>#VALUE!</v>
      </c>
      <c r="M27" s="33"/>
      <c r="N27" s="32" t="str">
        <f>IFERROR(VLOOKUP(M27,'TARIFS 12 2025'!B4:J502,9,FALSE),"")</f>
        <v/>
      </c>
      <c r="O27" s="36"/>
      <c r="P27" s="34" t="e">
        <f t="shared" ref="P27:P34" si="7">+O27*N27</f>
        <v>#VALUE!</v>
      </c>
    </row>
    <row r="28" spans="1:16" x14ac:dyDescent="0.25">
      <c r="A28" s="33"/>
      <c r="B28" s="32" t="str">
        <f>IFERROR(VLOOKUP(A28,'TARIFS 12 2025'!B5:J527,9,FALSE),"")</f>
        <v/>
      </c>
      <c r="C28" s="36"/>
      <c r="D28" s="34" t="e">
        <f t="shared" si="4"/>
        <v>#VALUE!</v>
      </c>
      <c r="E28" s="33"/>
      <c r="F28" s="32" t="str">
        <f>IFERROR(VLOOKUP(E28,'TARIFS 12 2025'!B5:J495,9,FALSE),"")</f>
        <v/>
      </c>
      <c r="G28" s="36"/>
      <c r="H28" s="34" t="e">
        <f t="shared" si="5"/>
        <v>#VALUE!</v>
      </c>
      <c r="I28" s="33"/>
      <c r="J28" s="32" t="str">
        <f>IFERROR(VLOOKUP(I28,'TARIFS 12 2025'!B5:J493,9,FALSE),"")</f>
        <v/>
      </c>
      <c r="K28" s="36"/>
      <c r="L28" s="34" t="e">
        <f t="shared" si="6"/>
        <v>#VALUE!</v>
      </c>
      <c r="M28" s="33"/>
      <c r="N28" s="32" t="str">
        <f>IFERROR(VLOOKUP(M28,'TARIFS 12 2025'!B5:J503,9,FALSE),"")</f>
        <v/>
      </c>
      <c r="O28" s="36"/>
      <c r="P28" s="34" t="e">
        <f t="shared" si="7"/>
        <v>#VALUE!</v>
      </c>
    </row>
    <row r="29" spans="1:16" x14ac:dyDescent="0.25">
      <c r="A29" s="33"/>
      <c r="B29" s="32" t="str">
        <f>IFERROR(VLOOKUP(A29,'TARIFS 12 2025'!B6:J528,9,FALSE),"")</f>
        <v/>
      </c>
      <c r="C29" s="36"/>
      <c r="D29" s="34" t="e">
        <f t="shared" si="4"/>
        <v>#VALUE!</v>
      </c>
      <c r="E29" s="33"/>
      <c r="F29" s="32" t="str">
        <f>IFERROR(VLOOKUP(E29,'TARIFS 12 2025'!B6:J496,9,FALSE),"")</f>
        <v/>
      </c>
      <c r="G29" s="36"/>
      <c r="H29" s="34" t="e">
        <f t="shared" si="5"/>
        <v>#VALUE!</v>
      </c>
      <c r="I29" s="33"/>
      <c r="J29" s="32" t="str">
        <f>IFERROR(VLOOKUP(I29,'TARIFS 12 2025'!B6:J494,9,FALSE),"")</f>
        <v/>
      </c>
      <c r="K29" s="36"/>
      <c r="L29" s="34" t="e">
        <f t="shared" si="6"/>
        <v>#VALUE!</v>
      </c>
      <c r="M29" s="33"/>
      <c r="N29" s="32" t="str">
        <f>IFERROR(VLOOKUP(M29,'TARIFS 12 2025'!B6:J504,9,FALSE),"")</f>
        <v/>
      </c>
      <c r="O29" s="36"/>
      <c r="P29" s="34" t="e">
        <f t="shared" si="7"/>
        <v>#VALUE!</v>
      </c>
    </row>
    <row r="30" spans="1:16" x14ac:dyDescent="0.25">
      <c r="A30" s="33"/>
      <c r="B30" s="32" t="str">
        <f>IFERROR(VLOOKUP(A30,'TARIFS 12 2025'!B7:J529,9,FALSE),"")</f>
        <v/>
      </c>
      <c r="C30" s="36"/>
      <c r="D30" s="34" t="e">
        <f t="shared" si="4"/>
        <v>#VALUE!</v>
      </c>
      <c r="E30" s="33"/>
      <c r="F30" s="32" t="str">
        <f>IFERROR(VLOOKUP(E30,'TARIFS 12 2025'!B7:J497,9,FALSE),"")</f>
        <v/>
      </c>
      <c r="G30" s="36"/>
      <c r="H30" s="34" t="e">
        <f t="shared" si="5"/>
        <v>#VALUE!</v>
      </c>
      <c r="I30" s="33"/>
      <c r="J30" s="32" t="str">
        <f>IFERROR(VLOOKUP(I30,'TARIFS 12 2025'!B7:J495,9,FALSE),"")</f>
        <v/>
      </c>
      <c r="K30" s="36"/>
      <c r="L30" s="34" t="e">
        <f t="shared" si="6"/>
        <v>#VALUE!</v>
      </c>
      <c r="M30" s="33"/>
      <c r="N30" s="32" t="str">
        <f>IFERROR(VLOOKUP(M30,'TARIFS 12 2025'!B7:J505,9,FALSE),"")</f>
        <v/>
      </c>
      <c r="O30" s="36"/>
      <c r="P30" s="34" t="e">
        <f t="shared" si="7"/>
        <v>#VALUE!</v>
      </c>
    </row>
    <row r="31" spans="1:16" x14ac:dyDescent="0.25">
      <c r="A31" s="33"/>
      <c r="B31" s="32" t="str">
        <f>IFERROR(VLOOKUP(A31,'TARIFS 12 2025'!B8:J530,9,FALSE),"")</f>
        <v/>
      </c>
      <c r="C31" s="36"/>
      <c r="D31" s="34" t="e">
        <f t="shared" si="4"/>
        <v>#VALUE!</v>
      </c>
      <c r="E31" s="33"/>
      <c r="F31" s="32" t="str">
        <f>IFERROR(VLOOKUP(E31,'TARIFS 12 2025'!B8:J498,9,FALSE),"")</f>
        <v/>
      </c>
      <c r="G31" s="36"/>
      <c r="H31" s="34" t="e">
        <f t="shared" si="5"/>
        <v>#VALUE!</v>
      </c>
      <c r="I31" s="33"/>
      <c r="J31" s="32" t="str">
        <f>IFERROR(VLOOKUP(I31,'TARIFS 12 2025'!B8:J496,9,FALSE),"")</f>
        <v/>
      </c>
      <c r="K31" s="36"/>
      <c r="L31" s="34" t="e">
        <f t="shared" si="6"/>
        <v>#VALUE!</v>
      </c>
      <c r="M31" s="33"/>
      <c r="N31" s="32" t="str">
        <f>IFERROR(VLOOKUP(M31,'TARIFS 12 2025'!B8:J506,9,FALSE),"")</f>
        <v/>
      </c>
      <c r="O31" s="36"/>
      <c r="P31" s="34" t="e">
        <f t="shared" si="7"/>
        <v>#VALUE!</v>
      </c>
    </row>
    <row r="32" spans="1:16" x14ac:dyDescent="0.25">
      <c r="A32" s="33"/>
      <c r="B32" s="32" t="str">
        <f>IFERROR(VLOOKUP(A32,'TARIFS 12 2025'!B9:J531,9,FALSE),"")</f>
        <v/>
      </c>
      <c r="C32" s="36"/>
      <c r="D32" s="34" t="e">
        <f t="shared" si="4"/>
        <v>#VALUE!</v>
      </c>
      <c r="E32" s="33"/>
      <c r="F32" s="32" t="str">
        <f>IFERROR(VLOOKUP(E32,'TARIFS 12 2025'!B9:J499,9,FALSE),"")</f>
        <v/>
      </c>
      <c r="G32" s="36"/>
      <c r="H32" s="34" t="e">
        <f t="shared" si="5"/>
        <v>#VALUE!</v>
      </c>
      <c r="I32" s="33"/>
      <c r="J32" s="32" t="str">
        <f>IFERROR(VLOOKUP(I32,'TARIFS 12 2025'!B9:J497,9,FALSE),"")</f>
        <v/>
      </c>
      <c r="K32" s="36"/>
      <c r="L32" s="34" t="e">
        <f t="shared" si="6"/>
        <v>#VALUE!</v>
      </c>
      <c r="M32" s="33"/>
      <c r="N32" s="32" t="str">
        <f>IFERROR(VLOOKUP(M32,'TARIFS 12 2025'!B9:J507,9,FALSE),"")</f>
        <v/>
      </c>
      <c r="O32" s="36"/>
      <c r="P32" s="34" t="e">
        <f t="shared" si="7"/>
        <v>#VALUE!</v>
      </c>
    </row>
    <row r="33" spans="1:16" x14ac:dyDescent="0.25">
      <c r="A33" s="33"/>
      <c r="B33" s="32" t="str">
        <f>IFERROR(VLOOKUP(A33,'TARIFS 12 2025'!B10:J532,9,FALSE),"")</f>
        <v/>
      </c>
      <c r="C33" s="36"/>
      <c r="D33" s="34"/>
      <c r="E33" s="33"/>
      <c r="F33" s="32" t="str">
        <f>IFERROR(VLOOKUP(E33,'TARIFS 12 2025'!B10:J500,9,FALSE),"")</f>
        <v/>
      </c>
      <c r="G33" s="36"/>
      <c r="H33" s="34" t="e">
        <f t="shared" si="5"/>
        <v>#VALUE!</v>
      </c>
      <c r="I33" s="33"/>
      <c r="J33" s="32" t="str">
        <f>IFERROR(VLOOKUP(I33,'TARIFS 12 2025'!B10:J498,9,FALSE),"")</f>
        <v/>
      </c>
      <c r="K33" s="36"/>
      <c r="L33" s="34" t="e">
        <f t="shared" si="6"/>
        <v>#VALUE!</v>
      </c>
      <c r="M33" s="33"/>
      <c r="N33" s="32" t="str">
        <f>IFERROR(VLOOKUP(M33,'TARIFS 12 2025'!B10:J508,9,FALSE),"")</f>
        <v/>
      </c>
      <c r="O33" s="36"/>
      <c r="P33" s="34" t="e">
        <f t="shared" si="7"/>
        <v>#VALUE!</v>
      </c>
    </row>
    <row r="34" spans="1:16" x14ac:dyDescent="0.25">
      <c r="A34" s="33"/>
      <c r="B34" s="32" t="str">
        <f>IFERROR(VLOOKUP(A34,'TARIFS 12 2025'!B11:J533,9,FALSE),"")</f>
        <v/>
      </c>
      <c r="C34" s="36"/>
      <c r="D34" s="34"/>
      <c r="E34" s="33"/>
      <c r="F34" s="32" t="str">
        <f>IFERROR(VLOOKUP(E34,'TARIFS 12 2025'!B11:J501,9,FALSE),"")</f>
        <v/>
      </c>
      <c r="G34" s="36"/>
      <c r="H34" s="34" t="e">
        <f t="shared" si="5"/>
        <v>#VALUE!</v>
      </c>
      <c r="I34" s="33"/>
      <c r="J34" s="32" t="str">
        <f>IFERROR(VLOOKUP(I34,'TARIFS 12 2025'!B11:J499,9,FALSE),"")</f>
        <v/>
      </c>
      <c r="K34" s="36"/>
      <c r="L34" s="34" t="e">
        <f t="shared" si="6"/>
        <v>#VALUE!</v>
      </c>
      <c r="M34" s="33"/>
      <c r="N34" s="32" t="str">
        <f>IFERROR(VLOOKUP(M34,'TARIFS 12 2025'!B11:J509,9,FALSE),"")</f>
        <v/>
      </c>
      <c r="O34" s="36"/>
      <c r="P34" s="34" t="e">
        <f t="shared" si="7"/>
        <v>#VALUE!</v>
      </c>
    </row>
    <row r="35" spans="1:16" x14ac:dyDescent="0.25">
      <c r="A35" s="33"/>
      <c r="B35" s="32" t="str">
        <f>IFERROR(VLOOKUP(A35,'TARIFS 12 2025'!B12:J534,9,FALSE),"")</f>
        <v/>
      </c>
      <c r="C35" s="36"/>
      <c r="D35" s="34"/>
      <c r="E35" s="33"/>
      <c r="F35" s="32"/>
      <c r="G35" s="36"/>
      <c r="H35" s="34"/>
      <c r="I35" s="33"/>
      <c r="J35" s="32" t="str">
        <f>IFERROR(VLOOKUP(I35,'TARIFS 12 2025'!B12:J500,9,FALSE),"")</f>
        <v/>
      </c>
      <c r="K35" s="36"/>
      <c r="L35" s="34" t="e">
        <f t="shared" si="6"/>
        <v>#VALUE!</v>
      </c>
      <c r="M35" s="33"/>
      <c r="N35" s="32"/>
      <c r="O35" s="36"/>
      <c r="P35" s="34"/>
    </row>
    <row r="36" spans="1:16" x14ac:dyDescent="0.25">
      <c r="A36" s="33"/>
      <c r="B36" s="32"/>
      <c r="C36" s="36"/>
      <c r="D36" s="34"/>
      <c r="E36" s="33"/>
      <c r="F36" s="32" t="str">
        <f>IFERROR(VLOOKUP(E36,'TARIFS 12 2025'!B13:J503,9,FALSE),"")</f>
        <v/>
      </c>
      <c r="G36" s="36"/>
      <c r="H36" s="34"/>
      <c r="I36" s="33"/>
      <c r="J36" s="32" t="str">
        <f>IFERROR(VLOOKUP(I36,'TARIFS 12 2025'!F13:N503,9,FALSE),"")</f>
        <v/>
      </c>
      <c r="K36" s="36"/>
      <c r="L36" s="34"/>
      <c r="M36" s="33"/>
      <c r="N36" s="32" t="str">
        <f>IFERROR(VLOOKUP(M36,'TARIFS 12 2025'!J13:R503,9,FALSE),"")</f>
        <v/>
      </c>
      <c r="O36" s="36"/>
      <c r="P36" s="34"/>
    </row>
    <row r="37" spans="1:16" x14ac:dyDescent="0.25">
      <c r="A37" s="33"/>
      <c r="B37" s="32"/>
      <c r="C37" s="36"/>
      <c r="D37" s="34"/>
      <c r="E37" s="33"/>
      <c r="F37" s="32" t="str">
        <f>IFERROR(VLOOKUP(E37,'TARIFS 12 2025'!B14:J504,9,FALSE),"")</f>
        <v/>
      </c>
      <c r="G37" s="36"/>
      <c r="H37" s="34"/>
      <c r="I37" s="33"/>
      <c r="J37" s="32" t="str">
        <f>IFERROR(VLOOKUP(I37,'TARIFS 12 2025'!F14:N504,9,FALSE),"")</f>
        <v/>
      </c>
      <c r="K37" s="36"/>
      <c r="L37" s="34"/>
      <c r="M37" s="33"/>
      <c r="N37" s="32" t="str">
        <f>IFERROR(VLOOKUP(M37,'TARIFS 12 2025'!J14:R504,9,FALSE),"")</f>
        <v/>
      </c>
      <c r="O37" s="36"/>
      <c r="P37" s="34"/>
    </row>
    <row r="38" spans="1:16" x14ac:dyDescent="0.25">
      <c r="A38" s="24"/>
      <c r="D38" s="25"/>
      <c r="E38" s="24"/>
      <c r="H38" s="25"/>
      <c r="I38" s="24"/>
      <c r="L38" s="25"/>
      <c r="M38" s="24"/>
      <c r="P38" s="25"/>
    </row>
    <row r="39" spans="1:16" x14ac:dyDescent="0.25">
      <c r="A39" s="24"/>
      <c r="C39" t="s">
        <v>947</v>
      </c>
      <c r="D39" s="26" t="e">
        <f>+SUM(D26:D37)</f>
        <v>#VALUE!</v>
      </c>
      <c r="E39" s="24"/>
      <c r="G39" t="s">
        <v>948</v>
      </c>
      <c r="H39" s="26" t="e">
        <f>+SUM(H26:H37)</f>
        <v>#VALUE!</v>
      </c>
      <c r="I39" s="24"/>
      <c r="K39" t="s">
        <v>949</v>
      </c>
      <c r="L39" s="26" t="e">
        <f>+SUM(L26:L37)</f>
        <v>#VALUE!</v>
      </c>
      <c r="M39" s="24"/>
      <c r="O39" t="s">
        <v>950</v>
      </c>
      <c r="P39" s="26" t="e">
        <f>+SUM(P26:P37)</f>
        <v>#VALUE!</v>
      </c>
    </row>
    <row r="40" spans="1:16" x14ac:dyDescent="0.25">
      <c r="A40" s="24"/>
      <c r="C40" t="s">
        <v>939</v>
      </c>
      <c r="D40" s="27" t="e">
        <f>+D39/25</f>
        <v>#VALUE!</v>
      </c>
      <c r="E40" s="24"/>
      <c r="G40" t="s">
        <v>939</v>
      </c>
      <c r="H40" s="27" t="e">
        <f>+H39/44.72</f>
        <v>#VALUE!</v>
      </c>
      <c r="I40" s="24"/>
      <c r="K40" t="s">
        <v>939</v>
      </c>
      <c r="L40" s="27" t="e">
        <f>+L39/56</f>
        <v>#VALUE!</v>
      </c>
      <c r="M40" s="24"/>
      <c r="O40" t="s">
        <v>939</v>
      </c>
      <c r="P40" s="27" t="e">
        <f>+P39/112</f>
        <v>#VALUE!</v>
      </c>
    </row>
    <row r="41" spans="1:16" x14ac:dyDescent="0.25">
      <c r="A41" s="24">
        <v>10750</v>
      </c>
      <c r="D41" s="25"/>
      <c r="E41" s="24"/>
      <c r="H41" s="25"/>
      <c r="I41" s="24"/>
      <c r="L41" s="25"/>
      <c r="M41" s="24"/>
      <c r="P41" s="25"/>
    </row>
    <row r="42" spans="1:16" x14ac:dyDescent="0.25">
      <c r="A42" s="24"/>
      <c r="C42" t="s">
        <v>941</v>
      </c>
      <c r="D42" s="27">
        <v>1.7955000000000001</v>
      </c>
      <c r="E42" s="24"/>
      <c r="G42" t="s">
        <v>941</v>
      </c>
      <c r="H42" s="27">
        <v>1.75</v>
      </c>
      <c r="I42" s="24"/>
      <c r="K42" t="s">
        <v>941</v>
      </c>
      <c r="L42" s="27">
        <v>0.99</v>
      </c>
      <c r="M42" s="24"/>
      <c r="O42" t="s">
        <v>941</v>
      </c>
      <c r="P42" s="83">
        <v>0.9</v>
      </c>
    </row>
    <row r="43" spans="1:16" ht="15.75" x14ac:dyDescent="0.25">
      <c r="A43" s="24"/>
      <c r="C43" t="s">
        <v>942</v>
      </c>
      <c r="D43" s="31" t="e">
        <f>+D42/D40</f>
        <v>#VALUE!</v>
      </c>
      <c r="E43" s="24"/>
      <c r="G43" t="s">
        <v>942</v>
      </c>
      <c r="H43" s="31" t="e">
        <f>+H42/H40</f>
        <v>#VALUE!</v>
      </c>
      <c r="I43" s="24"/>
      <c r="K43" t="s">
        <v>942</v>
      </c>
      <c r="L43" s="31" t="e">
        <f>+L42/L40</f>
        <v>#VALUE!</v>
      </c>
      <c r="M43" s="24"/>
      <c r="O43" t="s">
        <v>942</v>
      </c>
      <c r="P43" s="31" t="e">
        <f>+P42/P40</f>
        <v>#VALUE!</v>
      </c>
    </row>
    <row r="44" spans="1:16" ht="15.75" thickBot="1" x14ac:dyDescent="0.3">
      <c r="A44" s="28"/>
      <c r="B44" s="29"/>
      <c r="C44" s="29"/>
      <c r="D44" s="30"/>
      <c r="E44" s="28"/>
      <c r="F44" s="29"/>
      <c r="G44" s="29"/>
      <c r="H44" s="30"/>
      <c r="I44" s="28"/>
      <c r="J44" s="29"/>
      <c r="K44" s="29"/>
      <c r="L44" s="30"/>
      <c r="M44" s="28"/>
      <c r="N44" s="29"/>
      <c r="O44" s="29"/>
      <c r="P44" s="30"/>
    </row>
  </sheetData>
  <mergeCells count="8">
    <mergeCell ref="A2:D2"/>
    <mergeCell ref="E2:H2"/>
    <mergeCell ref="I2:L2"/>
    <mergeCell ref="M2:P2"/>
    <mergeCell ref="A24:D24"/>
    <mergeCell ref="E24:H24"/>
    <mergeCell ref="I24:L24"/>
    <mergeCell ref="M24:P24"/>
  </mergeCells>
  <conditionalFormatting sqref="D21">
    <cfRule type="cellIs" dxfId="185" priority="22" operator="greaterThan">
      <formula>$B$1</formula>
    </cfRule>
    <cfRule type="cellIs" dxfId="184" priority="23" operator="between">
      <formula>$B$1/2</formula>
      <formula>$B$1</formula>
    </cfRule>
    <cfRule type="cellIs" dxfId="183" priority="24" operator="lessThan">
      <formula>$B$1/2</formula>
    </cfRule>
  </conditionalFormatting>
  <conditionalFormatting sqref="D43">
    <cfRule type="cellIs" dxfId="182" priority="10" operator="greaterThan">
      <formula>$B$1</formula>
    </cfRule>
    <cfRule type="cellIs" dxfId="181" priority="11" operator="between">
      <formula>$B$1/2</formula>
      <formula>$B$1</formula>
    </cfRule>
    <cfRule type="cellIs" dxfId="180" priority="12" operator="lessThan">
      <formula>$B$1/2</formula>
    </cfRule>
  </conditionalFormatting>
  <conditionalFormatting sqref="H21">
    <cfRule type="cellIs" dxfId="179" priority="19" operator="greaterThan">
      <formula>$B$1</formula>
    </cfRule>
    <cfRule type="cellIs" dxfId="178" priority="20" operator="between">
      <formula>$B$1/2</formula>
      <formula>$B$1</formula>
    </cfRule>
    <cfRule type="cellIs" dxfId="177" priority="21" operator="lessThan">
      <formula>$B$1/2</formula>
    </cfRule>
  </conditionalFormatting>
  <conditionalFormatting sqref="H43">
    <cfRule type="cellIs" dxfId="176" priority="7" operator="greaterThan">
      <formula>$B$1</formula>
    </cfRule>
    <cfRule type="cellIs" dxfId="175" priority="8" operator="between">
      <formula>$B$1/2</formula>
      <formula>$B$1</formula>
    </cfRule>
    <cfRule type="cellIs" dxfId="174" priority="9" operator="lessThan">
      <formula>$B$1/2</formula>
    </cfRule>
  </conditionalFormatting>
  <conditionalFormatting sqref="L21">
    <cfRule type="cellIs" dxfId="173" priority="16" operator="greaterThan">
      <formula>$B$1</formula>
    </cfRule>
    <cfRule type="cellIs" dxfId="172" priority="17" operator="between">
      <formula>$B$1/2</formula>
      <formula>$B$1</formula>
    </cfRule>
    <cfRule type="cellIs" dxfId="171" priority="18" operator="lessThan">
      <formula>$B$1/2</formula>
    </cfRule>
  </conditionalFormatting>
  <conditionalFormatting sqref="L43">
    <cfRule type="cellIs" dxfId="170" priority="4" operator="greaterThan">
      <formula>$B$1</formula>
    </cfRule>
    <cfRule type="cellIs" dxfId="169" priority="5" operator="between">
      <formula>$B$1/2</formula>
      <formula>$B$1</formula>
    </cfRule>
    <cfRule type="cellIs" dxfId="168" priority="6" operator="lessThan">
      <formula>$B$1/2</formula>
    </cfRule>
  </conditionalFormatting>
  <conditionalFormatting sqref="P21">
    <cfRule type="cellIs" dxfId="167" priority="13" operator="greaterThan">
      <formula>$B$1</formula>
    </cfRule>
    <cfRule type="cellIs" dxfId="166" priority="14" operator="between">
      <formula>$B$1/2</formula>
      <formula>$B$1</formula>
    </cfRule>
    <cfRule type="cellIs" dxfId="165" priority="15" operator="lessThan">
      <formula>$B$1/2</formula>
    </cfRule>
  </conditionalFormatting>
  <conditionalFormatting sqref="P43">
    <cfRule type="cellIs" dxfId="164" priority="1" operator="greaterThan">
      <formula>$B$1</formula>
    </cfRule>
    <cfRule type="cellIs" dxfId="163" priority="2" operator="between">
      <formula>$B$1/2</formula>
      <formula>$B$1</formula>
    </cfRule>
    <cfRule type="cellIs" dxfId="162" priority="3" operator="lessThan">
      <formula>$B$1/2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87F50B-5A9E-4E62-A7E1-7C1C230DC707}">
          <x14:formula1>
            <xm:f>'TARIFS 12 2025'!$B:$B</xm:f>
          </x14:formula1>
          <xm:sqref>A4:A15 M26:M37 I26:I37 E26:E37 A26:A37 M4:M15 I4:I15 E4:E15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3CCE-3677-4B9A-8B63-3FBA20D6BC29}">
  <sheetPr codeName="Feuil8">
    <tabColor theme="5" tint="0.59999389629810485"/>
  </sheetPr>
  <dimension ref="A1:P65"/>
  <sheetViews>
    <sheetView topLeftCell="F25" zoomScale="90" zoomScaleNormal="90" workbookViewId="0">
      <selection activeCell="N57" sqref="N57"/>
    </sheetView>
  </sheetViews>
  <sheetFormatPr baseColWidth="10" defaultColWidth="10.7109375" defaultRowHeight="15" x14ac:dyDescent="0.25"/>
  <cols>
    <col min="1" max="1" width="33.7109375" customWidth="1"/>
    <col min="4" max="4" width="11.42578125" customWidth="1"/>
    <col min="5" max="5" width="33.7109375" customWidth="1"/>
    <col min="9" max="9" width="33.7109375" customWidth="1"/>
    <col min="13" max="13" width="33.7109375" customWidth="1"/>
  </cols>
  <sheetData>
    <row r="1" spans="1:16" ht="15.75" thickBot="1" x14ac:dyDescent="0.3">
      <c r="A1" s="39" t="s">
        <v>928</v>
      </c>
      <c r="B1" s="40">
        <v>4</v>
      </c>
    </row>
    <row r="2" spans="1:16" ht="22.5" customHeight="1" thickBot="1" x14ac:dyDescent="0.3">
      <c r="A2" s="174" t="s">
        <v>982</v>
      </c>
      <c r="B2" s="175"/>
      <c r="C2" s="175"/>
      <c r="D2" s="176"/>
      <c r="E2" s="174" t="s">
        <v>983</v>
      </c>
      <c r="F2" s="175"/>
      <c r="G2" s="175"/>
      <c r="H2" s="176"/>
      <c r="I2" s="174" t="s">
        <v>984</v>
      </c>
      <c r="J2" s="175"/>
      <c r="K2" s="175"/>
      <c r="L2" s="176"/>
      <c r="M2" s="174" t="s">
        <v>985</v>
      </c>
      <c r="N2" s="175"/>
      <c r="O2" s="175"/>
      <c r="P2" s="176"/>
    </row>
    <row r="3" spans="1:16" x14ac:dyDescent="0.25">
      <c r="A3" s="37"/>
      <c r="B3" s="6" t="s">
        <v>933</v>
      </c>
      <c r="C3" s="6" t="s">
        <v>934</v>
      </c>
      <c r="D3" s="38"/>
      <c r="E3" s="37"/>
      <c r="F3" s="6" t="s">
        <v>933</v>
      </c>
      <c r="G3" s="6" t="s">
        <v>934</v>
      </c>
      <c r="H3" s="38"/>
      <c r="I3" s="37"/>
      <c r="J3" s="6" t="s">
        <v>933</v>
      </c>
      <c r="K3" s="6" t="s">
        <v>934</v>
      </c>
      <c r="L3" s="38"/>
      <c r="M3" s="37"/>
      <c r="N3" s="6" t="s">
        <v>933</v>
      </c>
      <c r="O3" s="6" t="s">
        <v>934</v>
      </c>
      <c r="P3" s="38"/>
    </row>
    <row r="4" spans="1:16" x14ac:dyDescent="0.25">
      <c r="A4" s="33" t="s">
        <v>323</v>
      </c>
      <c r="B4" s="32">
        <f>IFERROR(VLOOKUP(A4,'TARIFS 12 2025'!B3:J461,9,FALSE),"")</f>
        <v>1.6911300174520072</v>
      </c>
      <c r="C4" s="36">
        <v>0.4</v>
      </c>
      <c r="D4" s="34">
        <f>+C4*B4</f>
        <v>0.67645200698080288</v>
      </c>
      <c r="E4" s="33" t="s">
        <v>761</v>
      </c>
      <c r="F4" s="32">
        <f>IFERROR(VLOOKUP(E4,'TARIFS 12 2025'!B3:J466,9,FALSE),"")</f>
        <v>2.4298560209424083</v>
      </c>
      <c r="G4" s="36">
        <v>4.8000000000000001E-2</v>
      </c>
      <c r="H4" s="34">
        <f>+G4*F4</f>
        <v>0.1166330890052356</v>
      </c>
      <c r="I4" s="33" t="s">
        <v>323</v>
      </c>
      <c r="J4" s="32">
        <f>IFERROR(VLOOKUP(I4,'TARIFS 12 2025'!B3:J502,9,FALSE),"")</f>
        <v>1.6911300174520072</v>
      </c>
      <c r="K4" s="36">
        <v>0.38</v>
      </c>
      <c r="L4" s="34">
        <f>+K4*J4</f>
        <v>0.64262940663176271</v>
      </c>
      <c r="M4" s="33" t="s">
        <v>323</v>
      </c>
      <c r="N4" s="32">
        <f>IFERROR(VLOOKUP(M4,'TARIFS 12 2025'!B3:J510,9,FALSE),"")</f>
        <v>1.6911300174520072</v>
      </c>
      <c r="O4" s="36">
        <v>0.05</v>
      </c>
      <c r="P4" s="34">
        <f>+O4*N4</f>
        <v>8.455650087260036E-2</v>
      </c>
    </row>
    <row r="5" spans="1:16" x14ac:dyDescent="0.25">
      <c r="A5" s="33" t="s">
        <v>247</v>
      </c>
      <c r="B5" s="32">
        <f>IFERROR(VLOOKUP(A5,'TARIFS 12 2025'!B4:J461,9,FALSE),"")</f>
        <v>0.97750000000000004</v>
      </c>
      <c r="C5" s="36">
        <v>1.2</v>
      </c>
      <c r="D5" s="34">
        <f t="shared" ref="D5" si="0">+C5*B5</f>
        <v>1.173</v>
      </c>
      <c r="E5" s="33" t="s">
        <v>369</v>
      </c>
      <c r="F5" s="32">
        <f>IFERROR(VLOOKUP(E5,'TARIFS 12 2025'!B4:J469,9,FALSE),"")</f>
        <v>6.5775298804780888</v>
      </c>
      <c r="G5" s="36">
        <v>1.4999999999999999E-2</v>
      </c>
      <c r="H5" s="34">
        <f t="shared" ref="H5" si="1">+G5*F5</f>
        <v>9.8662948207171322E-2</v>
      </c>
      <c r="I5" s="33" t="s">
        <v>247</v>
      </c>
      <c r="J5" s="32">
        <f>IFERROR(VLOOKUP(I5,'TARIFS 12 2025'!B4:J503,9,FALSE),"")</f>
        <v>0.97750000000000004</v>
      </c>
      <c r="K5" s="36">
        <f>0.22/3</f>
        <v>7.3333333333333334E-2</v>
      </c>
      <c r="L5" s="34">
        <f t="shared" ref="L5:L10" si="2">+K5*J5</f>
        <v>7.1683333333333335E-2</v>
      </c>
      <c r="M5" s="33" t="s">
        <v>195</v>
      </c>
      <c r="N5" s="32">
        <f>IFERROR(VLOOKUP(M5,'TARIFS 12 2025'!B4:J511,9,FALSE),"")</f>
        <v>7.7</v>
      </c>
      <c r="O5" s="36">
        <v>0.02</v>
      </c>
      <c r="P5" s="34">
        <f>2.31/3*0.05</f>
        <v>3.8500000000000006E-2</v>
      </c>
    </row>
    <row r="6" spans="1:16" x14ac:dyDescent="0.25">
      <c r="A6" s="33" t="s">
        <v>110</v>
      </c>
      <c r="B6" s="32">
        <f>IFERROR(VLOOKUP(A6,'TARIFS 12 2025'!B5:J462,9,FALSE),"")</f>
        <v>6.8780000000000004E-3</v>
      </c>
      <c r="C6" s="36">
        <v>8</v>
      </c>
      <c r="D6" s="34">
        <f>+C6*B6</f>
        <v>5.5024000000000003E-2</v>
      </c>
      <c r="E6" s="33" t="s">
        <v>9</v>
      </c>
      <c r="F6" s="32">
        <f>9.88/2.4</f>
        <v>4.1166666666666671</v>
      </c>
      <c r="G6" s="36">
        <v>0.06</v>
      </c>
      <c r="H6" s="34">
        <f>+G6*F6</f>
        <v>0.24700000000000003</v>
      </c>
      <c r="I6" s="33" t="s">
        <v>35</v>
      </c>
      <c r="J6" s="32">
        <f>IFERROR(VLOOKUP(I6,'TARIFS 12 2025'!B5:J504,9,FALSE),"")</f>
        <v>5.24</v>
      </c>
      <c r="K6" s="36">
        <f>0.22/3*2*0.25</f>
        <v>3.6666666666666667E-2</v>
      </c>
      <c r="L6" s="34">
        <f t="shared" si="2"/>
        <v>0.19213333333333335</v>
      </c>
      <c r="M6" s="33" t="s">
        <v>651</v>
      </c>
      <c r="N6" s="32">
        <f>IFERROR(VLOOKUP(M6,'TARIFS 12 2025'!B5:J512,9,FALSE),"")</f>
        <v>1.03</v>
      </c>
      <c r="O6" s="36">
        <v>0.09</v>
      </c>
      <c r="P6" s="34">
        <f t="shared" ref="P6" si="3">+O6*N6</f>
        <v>9.2700000000000005E-2</v>
      </c>
    </row>
    <row r="7" spans="1:16" x14ac:dyDescent="0.25">
      <c r="A7" s="33"/>
      <c r="B7" s="32"/>
      <c r="C7" s="36"/>
      <c r="D7" s="34"/>
      <c r="E7" s="33"/>
      <c r="F7" s="32" t="str">
        <f>IFERROR(VLOOKUP(E7,'TARIFS 12 2025'!B6:J471,9,FALSE),"")</f>
        <v/>
      </c>
      <c r="G7" s="36"/>
      <c r="H7" s="34"/>
      <c r="I7" s="33" t="s">
        <v>498</v>
      </c>
      <c r="J7" s="32">
        <f>IFERROR(VLOOKUP(I7,'TARIFS 12 2025'!B6:J505,9,FALSE),"")</f>
        <v>2.72</v>
      </c>
      <c r="K7" s="36">
        <f>0.22/3*2*0.25</f>
        <v>3.6666666666666667E-2</v>
      </c>
      <c r="L7" s="34">
        <f t="shared" si="2"/>
        <v>9.973333333333334E-2</v>
      </c>
      <c r="M7" s="33"/>
      <c r="N7" s="32" t="str">
        <f>IFERROR(VLOOKUP(M7,'TARIFS 12 2025'!B6:J513,9,FALSE),"")</f>
        <v/>
      </c>
      <c r="O7" s="36"/>
      <c r="P7" s="34"/>
    </row>
    <row r="8" spans="1:16" x14ac:dyDescent="0.25">
      <c r="A8" s="33"/>
      <c r="B8" s="32" t="str">
        <f>IFERROR(VLOOKUP(A8,'TARIFS 12 2025'!B7:J463,9,FALSE),"")</f>
        <v/>
      </c>
      <c r="C8" s="36"/>
      <c r="D8" s="34"/>
      <c r="E8" s="33"/>
      <c r="F8" s="32" t="str">
        <f>IFERROR(VLOOKUP(E8,'TARIFS 12 2025'!B7:J472,9,FALSE),"")</f>
        <v/>
      </c>
      <c r="G8" s="36"/>
      <c r="H8" s="34"/>
      <c r="I8" s="33" t="s">
        <v>69</v>
      </c>
      <c r="J8" s="32">
        <f>IFERROR(VLOOKUP(I8,'TARIFS 12 2025'!B7:J506,9,FALSE),"")</f>
        <v>4.8</v>
      </c>
      <c r="K8" s="36">
        <f>0.22/3*2*0.25</f>
        <v>3.6666666666666667E-2</v>
      </c>
      <c r="L8" s="34">
        <f t="shared" si="2"/>
        <v>0.17599999999999999</v>
      </c>
      <c r="M8" s="33"/>
      <c r="N8" s="32" t="str">
        <f>IFERROR(VLOOKUP(M8,'TARIFS 12 2025'!B7:J514,9,FALSE),"")</f>
        <v/>
      </c>
      <c r="O8" s="36"/>
      <c r="P8" s="34"/>
    </row>
    <row r="9" spans="1:16" x14ac:dyDescent="0.25">
      <c r="A9" s="33"/>
      <c r="B9" s="32" t="str">
        <f>IFERROR(VLOOKUP(A9,'TARIFS 12 2025'!B8:J464,9,FALSE),"")</f>
        <v/>
      </c>
      <c r="C9" s="36"/>
      <c r="D9" s="34"/>
      <c r="E9" s="33"/>
      <c r="F9" s="32" t="str">
        <f>IFERROR(VLOOKUP(E9,'TARIFS 12 2025'!B8:J473,9,FALSE),"")</f>
        <v/>
      </c>
      <c r="G9" s="36"/>
      <c r="H9" s="34"/>
      <c r="I9" s="33" t="s">
        <v>854</v>
      </c>
      <c r="J9" s="32">
        <f>IFERROR(VLOOKUP(I9,'TARIFS 12 2025'!B8:J507,9,FALSE),"")</f>
        <v>0.86</v>
      </c>
      <c r="K9" s="36">
        <f>0.22/3*2*0.25</f>
        <v>3.6666666666666667E-2</v>
      </c>
      <c r="L9" s="34">
        <f t="shared" si="2"/>
        <v>3.153333333333333E-2</v>
      </c>
      <c r="M9" s="33"/>
      <c r="N9" s="32" t="str">
        <f>IFERROR(VLOOKUP(M9,'TARIFS 12 2025'!B8:J515,9,FALSE),"")</f>
        <v/>
      </c>
      <c r="O9" s="36"/>
      <c r="P9" s="34"/>
    </row>
    <row r="10" spans="1:16" x14ac:dyDescent="0.25">
      <c r="A10" s="33"/>
      <c r="B10" s="32" t="str">
        <f>IFERROR(VLOOKUP(A10,'TARIFS 12 2025'!B9:J465,9,FALSE),"")</f>
        <v/>
      </c>
      <c r="C10" s="36"/>
      <c r="D10" s="34"/>
      <c r="E10" s="33"/>
      <c r="F10" s="32" t="str">
        <f>IFERROR(VLOOKUP(E10,'TARIFS 12 2025'!B9:J474,9,FALSE),"")</f>
        <v/>
      </c>
      <c r="G10" s="36"/>
      <c r="H10" s="34"/>
      <c r="I10" s="33" t="s">
        <v>602</v>
      </c>
      <c r="J10" s="32">
        <f>IFERROR(VLOOKUP(I10,'TARIFS 12 2025'!B9:J508,9,FALSE),"")</f>
        <v>8.85</v>
      </c>
      <c r="K10" s="36">
        <v>0.01</v>
      </c>
      <c r="L10" s="34">
        <f t="shared" si="2"/>
        <v>8.8499999999999995E-2</v>
      </c>
      <c r="M10" s="33"/>
      <c r="N10" s="32" t="str">
        <f>IFERROR(VLOOKUP(M10,'TARIFS 12 2025'!B9:J516,9,FALSE),"")</f>
        <v/>
      </c>
      <c r="O10" s="36"/>
      <c r="P10" s="34"/>
    </row>
    <row r="11" spans="1:16" x14ac:dyDescent="0.25">
      <c r="A11" s="33"/>
      <c r="B11" s="32" t="str">
        <f>IFERROR(VLOOKUP(A11,'TARIFS 12 2025'!B10:J466,9,FALSE),"")</f>
        <v/>
      </c>
      <c r="C11" s="36"/>
      <c r="D11" s="34"/>
      <c r="E11" s="33"/>
      <c r="F11" s="32"/>
      <c r="G11" s="36"/>
      <c r="H11" s="34"/>
      <c r="I11" s="33" t="s">
        <v>986</v>
      </c>
      <c r="J11" s="32">
        <v>0.6</v>
      </c>
      <c r="K11" s="36">
        <v>1</v>
      </c>
      <c r="L11" s="34">
        <f>+K11*J11</f>
        <v>0.6</v>
      </c>
      <c r="M11" s="33"/>
      <c r="N11" s="32" t="str">
        <f>IFERROR(VLOOKUP(M11,'TARIFS 12 2025'!B10:J517,9,FALSE),"")</f>
        <v/>
      </c>
      <c r="O11" s="36"/>
      <c r="P11" s="34"/>
    </row>
    <row r="12" spans="1:16" x14ac:dyDescent="0.25">
      <c r="A12" s="33"/>
      <c r="B12" s="32" t="str">
        <f>IFERROR(VLOOKUP(A12,'TARIFS 12 2025'!B11:J469,9,FALSE),"")</f>
        <v/>
      </c>
      <c r="C12" s="36"/>
      <c r="D12" s="34"/>
      <c r="E12" s="33"/>
      <c r="F12" s="32"/>
      <c r="G12" s="36"/>
      <c r="H12" s="34"/>
      <c r="I12" s="33" t="s">
        <v>215</v>
      </c>
      <c r="J12" s="32">
        <f>IFERROR(VLOOKUP(I12,'TARIFS 12 2025'!B11:J510,9,FALSE),"")</f>
        <v>4.62</v>
      </c>
      <c r="K12" s="36">
        <v>0.01</v>
      </c>
      <c r="L12" s="34">
        <f>+K12*J12</f>
        <v>4.6200000000000005E-2</v>
      </c>
      <c r="M12" s="33"/>
      <c r="N12" s="32" t="str">
        <f>IFERROR(VLOOKUP(M12,'TARIFS 12 2025'!B11:J518,9,FALSE),"")</f>
        <v/>
      </c>
      <c r="O12" s="36"/>
      <c r="P12" s="34"/>
    </row>
    <row r="13" spans="1:16" x14ac:dyDescent="0.25">
      <c r="A13" s="33"/>
      <c r="B13" s="32" t="str">
        <f>IFERROR(VLOOKUP(A13,'TARIFS 12 2025'!B12:J470,9,FALSE),"")</f>
        <v/>
      </c>
      <c r="C13" s="36"/>
      <c r="D13" s="34"/>
      <c r="E13" s="33"/>
      <c r="F13" s="32"/>
      <c r="G13" s="36"/>
      <c r="H13" s="34"/>
      <c r="I13" s="33" t="s">
        <v>762</v>
      </c>
      <c r="J13" s="32">
        <f>IFERROR(VLOOKUP(I13,'TARIFS 12 2025'!B12:J511,9,FALSE),"")</f>
        <v>11.05</v>
      </c>
      <c r="K13" s="36">
        <v>0.01</v>
      </c>
      <c r="L13" s="34">
        <f>+K13*J13</f>
        <v>0.11050000000000001</v>
      </c>
      <c r="M13" s="33"/>
      <c r="N13" s="32" t="str">
        <f>IFERROR(VLOOKUP(M13,'TARIFS 12 2025'!B12:J519,9,FALSE),"")</f>
        <v/>
      </c>
      <c r="O13" s="36"/>
      <c r="P13" s="34"/>
    </row>
    <row r="14" spans="1:16" x14ac:dyDescent="0.25">
      <c r="A14" s="33"/>
      <c r="B14" s="32" t="str">
        <f>IFERROR(VLOOKUP(A14,'TARIFS 12 2025'!B13:J471,9,FALSE),"")</f>
        <v/>
      </c>
      <c r="C14" s="36"/>
      <c r="D14" s="34"/>
      <c r="E14" s="33"/>
      <c r="F14" s="32"/>
      <c r="G14" s="36"/>
      <c r="H14" s="34"/>
      <c r="I14" s="33"/>
      <c r="J14" s="32" t="str">
        <f>IFERROR(VLOOKUP(I14,'TARIFS 12 2025'!B13:J512,9,FALSE),"")</f>
        <v/>
      </c>
      <c r="K14" s="36"/>
      <c r="L14" s="34"/>
      <c r="M14" s="33"/>
      <c r="N14" s="32" t="str">
        <f>IFERROR(VLOOKUP(M14,'TARIFS 12 2025'!B13:J520,9,FALSE),"")</f>
        <v/>
      </c>
      <c r="O14" s="36"/>
      <c r="P14" s="34"/>
    </row>
    <row r="15" spans="1:16" x14ac:dyDescent="0.25">
      <c r="A15" s="33"/>
      <c r="B15" s="32"/>
      <c r="C15" s="36"/>
      <c r="D15" s="34"/>
      <c r="E15" s="33"/>
      <c r="F15" s="32"/>
      <c r="G15" s="36"/>
      <c r="H15" s="34"/>
      <c r="I15" s="33"/>
      <c r="J15" s="32" t="str">
        <f>IFERROR(VLOOKUP(I15,'TARIFS 12 2025'!B14:J513,9,FALSE),"")</f>
        <v/>
      </c>
      <c r="K15" s="36"/>
      <c r="L15" s="34"/>
      <c r="M15" s="33"/>
      <c r="N15" s="32" t="str">
        <f>IFERROR(VLOOKUP(M15,'TARIFS 12 2025'!B14:J521,9,FALSE),"")</f>
        <v/>
      </c>
      <c r="O15" s="36"/>
      <c r="P15" s="34"/>
    </row>
    <row r="16" spans="1:16" x14ac:dyDescent="0.25">
      <c r="A16" s="24"/>
      <c r="D16" s="25"/>
      <c r="E16" s="24"/>
      <c r="H16" s="25"/>
      <c r="I16" s="24"/>
      <c r="L16" s="25"/>
      <c r="M16" s="24"/>
      <c r="P16" s="25"/>
    </row>
    <row r="17" spans="1:16" x14ac:dyDescent="0.25">
      <c r="A17" s="24"/>
      <c r="C17" t="s">
        <v>987</v>
      </c>
      <c r="D17" s="26">
        <f>+SUM(D4:D15)</f>
        <v>1.9044760069808029</v>
      </c>
      <c r="E17" s="24"/>
      <c r="G17" t="s">
        <v>980</v>
      </c>
      <c r="H17" s="26">
        <f>+SUM(H4:H15)</f>
        <v>0.46229603721240697</v>
      </c>
      <c r="I17" s="24"/>
      <c r="K17" t="s">
        <v>939</v>
      </c>
      <c r="L17" s="26">
        <f>+SUM(L4:L15)</f>
        <v>2.0589127399650962</v>
      </c>
      <c r="M17" s="24"/>
      <c r="O17" t="s">
        <v>939</v>
      </c>
      <c r="P17" s="26">
        <f>+SUM(P4:P15)</f>
        <v>0.21575650087260037</v>
      </c>
    </row>
    <row r="18" spans="1:16" x14ac:dyDescent="0.25">
      <c r="A18" s="24"/>
      <c r="C18" t="s">
        <v>939</v>
      </c>
      <c r="D18" s="27">
        <f>+D17/8</f>
        <v>0.23805950087260036</v>
      </c>
      <c r="E18" s="24"/>
      <c r="G18" t="s">
        <v>939</v>
      </c>
      <c r="H18" s="27">
        <f>+H17</f>
        <v>0.46229603721240697</v>
      </c>
      <c r="I18" s="24"/>
      <c r="K18" t="s">
        <v>939</v>
      </c>
      <c r="L18" s="27">
        <f>+L17</f>
        <v>2.0589127399650962</v>
      </c>
      <c r="M18" s="24"/>
      <c r="O18" t="s">
        <v>939</v>
      </c>
      <c r="P18" s="27">
        <f>+P17</f>
        <v>0.21575650087260037</v>
      </c>
    </row>
    <row r="19" spans="1:16" x14ac:dyDescent="0.25">
      <c r="A19" s="24"/>
      <c r="D19" s="25">
        <v>2.0499999999999998</v>
      </c>
      <c r="E19" s="24"/>
      <c r="G19" t="s">
        <v>940</v>
      </c>
      <c r="H19" s="25">
        <v>2.8</v>
      </c>
      <c r="I19" s="24"/>
      <c r="K19" t="s">
        <v>940</v>
      </c>
      <c r="L19" s="25">
        <v>17</v>
      </c>
      <c r="M19" s="24">
        <v>9445</v>
      </c>
      <c r="O19" t="s">
        <v>940</v>
      </c>
      <c r="P19" s="25">
        <v>2.8</v>
      </c>
    </row>
    <row r="20" spans="1:16" x14ac:dyDescent="0.25">
      <c r="A20" s="24"/>
      <c r="C20" t="s">
        <v>941</v>
      </c>
      <c r="D20" s="27">
        <f>D19/(1+5.5/100)</f>
        <v>1.9431279620853079</v>
      </c>
      <c r="E20" s="24"/>
      <c r="G20" t="s">
        <v>941</v>
      </c>
      <c r="H20" s="27">
        <f>H19/(1+5.5/100)</f>
        <v>2.6540284360189572</v>
      </c>
      <c r="I20" s="24"/>
      <c r="K20" t="s">
        <v>941</v>
      </c>
      <c r="L20" s="27">
        <f>L19/(1+5.5/100)</f>
        <v>16.113744075829384</v>
      </c>
      <c r="M20" s="24"/>
      <c r="O20" t="s">
        <v>941</v>
      </c>
      <c r="P20" s="27">
        <f>P19/(1+5.5/100)</f>
        <v>2.6540284360189572</v>
      </c>
    </row>
    <row r="21" spans="1:16" ht="15.75" x14ac:dyDescent="0.25">
      <c r="A21" s="24"/>
      <c r="C21" t="s">
        <v>942</v>
      </c>
      <c r="D21" s="31">
        <f>+D20/D18</f>
        <v>8.1623625814673524</v>
      </c>
      <c r="E21" s="24"/>
      <c r="G21" t="s">
        <v>942</v>
      </c>
      <c r="H21" s="31">
        <f>+H20/H18</f>
        <v>5.7409716337229488</v>
      </c>
      <c r="I21" s="24"/>
      <c r="K21" t="s">
        <v>942</v>
      </c>
      <c r="L21" s="31">
        <f>L20/L18</f>
        <v>7.8263365722349914</v>
      </c>
      <c r="M21" s="24"/>
      <c r="O21" t="s">
        <v>942</v>
      </c>
      <c r="P21" s="31">
        <f>+P20/P18</f>
        <v>12.30103577544625</v>
      </c>
    </row>
    <row r="22" spans="1:16" ht="15.75" thickBot="1" x14ac:dyDescent="0.3">
      <c r="A22" s="28"/>
      <c r="B22" s="29"/>
      <c r="C22" s="29"/>
      <c r="D22" s="30"/>
      <c r="E22" s="28"/>
      <c r="F22" s="29"/>
      <c r="G22" s="29" t="s">
        <v>0</v>
      </c>
      <c r="H22" s="30">
        <f>(H20-H18)*100/H20</f>
        <v>82.581345740746812</v>
      </c>
      <c r="I22" s="28"/>
      <c r="J22" s="29"/>
      <c r="K22" s="29" t="s">
        <v>0</v>
      </c>
      <c r="L22" s="30">
        <f>(L20-L18)*100/L20</f>
        <v>87.222629760804836</v>
      </c>
      <c r="M22" s="28"/>
      <c r="N22" s="29"/>
      <c r="O22" s="29" t="s">
        <v>0</v>
      </c>
      <c r="P22" s="30">
        <f>(P20-P18)*100/P20</f>
        <v>91.870603270693081</v>
      </c>
    </row>
    <row r="23" spans="1:16" ht="15.75" thickBot="1" x14ac:dyDescent="0.3"/>
    <row r="24" spans="1:16" ht="24.75" customHeight="1" thickBot="1" x14ac:dyDescent="0.3">
      <c r="A24" s="174" t="s">
        <v>988</v>
      </c>
      <c r="B24" s="175"/>
      <c r="C24" s="175"/>
      <c r="D24" s="176"/>
      <c r="E24" s="174" t="s">
        <v>989</v>
      </c>
      <c r="F24" s="175"/>
      <c r="G24" s="175"/>
      <c r="H24" s="176"/>
      <c r="I24" s="174" t="s">
        <v>990</v>
      </c>
      <c r="J24" s="175"/>
      <c r="K24" s="175"/>
      <c r="L24" s="176"/>
      <c r="M24" s="174" t="s">
        <v>972</v>
      </c>
      <c r="N24" s="175"/>
      <c r="O24" s="175"/>
      <c r="P24" s="176"/>
    </row>
    <row r="25" spans="1:16" x14ac:dyDescent="0.25">
      <c r="A25" s="37"/>
      <c r="B25" s="6" t="s">
        <v>933</v>
      </c>
      <c r="C25" s="6" t="s">
        <v>934</v>
      </c>
      <c r="D25" s="38"/>
      <c r="E25" s="37"/>
      <c r="F25" s="6" t="s">
        <v>933</v>
      </c>
      <c r="G25" s="6" t="s">
        <v>934</v>
      </c>
      <c r="H25" s="38"/>
      <c r="I25" s="37"/>
      <c r="J25" s="6" t="s">
        <v>933</v>
      </c>
      <c r="K25" s="6" t="s">
        <v>934</v>
      </c>
      <c r="L25" s="38"/>
      <c r="M25" s="37"/>
      <c r="N25" s="6" t="s">
        <v>933</v>
      </c>
      <c r="O25" s="6" t="s">
        <v>934</v>
      </c>
      <c r="P25" s="38"/>
    </row>
    <row r="26" spans="1:16" x14ac:dyDescent="0.25">
      <c r="A26" s="33" t="s">
        <v>761</v>
      </c>
      <c r="B26" s="32">
        <f>IFERROR(VLOOKUP(A26,'TARIFS 12 2025'!B3:J525,9,FALSE),"")</f>
        <v>2.4298560209424083</v>
      </c>
      <c r="C26" s="36">
        <f>0.045*60</f>
        <v>2.6999999999999997</v>
      </c>
      <c r="D26" s="34">
        <f t="shared" ref="D26:D34" si="4">+C26*B26</f>
        <v>6.5606112565445018</v>
      </c>
      <c r="E26" s="33" t="s">
        <v>761</v>
      </c>
      <c r="F26" s="32">
        <f>IFERROR(VLOOKUP(E26,'TARIFS 12 2025'!B25:J492,9,FALSE),"")</f>
        <v>2.4298560209424083</v>
      </c>
      <c r="G26" s="36">
        <f>0.035*60</f>
        <v>2.1</v>
      </c>
      <c r="H26" s="34">
        <f>+G26*F26</f>
        <v>5.1026976439790577</v>
      </c>
      <c r="I26" s="33" t="s">
        <v>761</v>
      </c>
      <c r="J26" s="32">
        <f>IFERROR(VLOOKUP(I26,'TARIFS 12 2025'!B3:J491,9,FALSE),"")</f>
        <v>2.4298560209424083</v>
      </c>
      <c r="K26" s="36">
        <f>0.045*65</f>
        <v>2.9249999999999998</v>
      </c>
      <c r="L26" s="34">
        <f>+K26*J26</f>
        <v>7.1073288612565442</v>
      </c>
      <c r="M26" s="33" t="s">
        <v>79</v>
      </c>
      <c r="N26" s="32">
        <f>IFERROR(VLOOKUP(M26,'TARIFS 12 2025'!B3:J501,9,FALSE),"")</f>
        <v>3.29</v>
      </c>
      <c r="O26" s="36">
        <v>0.8</v>
      </c>
      <c r="P26" s="34">
        <f>+O26*N26</f>
        <v>2.6320000000000001</v>
      </c>
    </row>
    <row r="27" spans="1:16" x14ac:dyDescent="0.25">
      <c r="A27" s="33" t="s">
        <v>412</v>
      </c>
      <c r="B27" s="32">
        <f>IFERROR(VLOOKUP(A27,'TARIFS 12 2025'!B4:J526,9,FALSE),"")</f>
        <v>5.3890000000000002</v>
      </c>
      <c r="C27" s="36">
        <v>1</v>
      </c>
      <c r="D27" s="34">
        <f t="shared" si="4"/>
        <v>5.3890000000000002</v>
      </c>
      <c r="E27" s="33" t="s">
        <v>255</v>
      </c>
      <c r="F27" s="32">
        <f>IFERROR(VLOOKUP(E27,'TARIFS 12 2025'!B26:J493,9,FALSE),"")</f>
        <v>3.48</v>
      </c>
      <c r="G27" s="36">
        <v>1.05</v>
      </c>
      <c r="H27" s="34">
        <f t="shared" ref="H27:H31" si="5">+G27*F27</f>
        <v>3.6539999999999999</v>
      </c>
      <c r="I27" s="33" t="s">
        <v>412</v>
      </c>
      <c r="J27" s="32">
        <f>IFERROR(VLOOKUP(I27,'TARIFS 12 2025'!B4:J492,9,FALSE),"")</f>
        <v>5.3890000000000002</v>
      </c>
      <c r="K27" s="36">
        <v>1</v>
      </c>
      <c r="L27" s="34">
        <f t="shared" ref="L27:L34" si="6">+K27*J27</f>
        <v>5.3890000000000002</v>
      </c>
      <c r="M27" s="33" t="s">
        <v>854</v>
      </c>
      <c r="N27" s="32">
        <f>IFERROR(VLOOKUP(M27,'TARIFS 12 2025'!B4:J502,9,FALSE),"")</f>
        <v>0.86</v>
      </c>
      <c r="O27" s="36">
        <v>1</v>
      </c>
      <c r="P27" s="34">
        <f t="shared" ref="P27:P34" si="7">+O27*N27</f>
        <v>0.86</v>
      </c>
    </row>
    <row r="28" spans="1:16" x14ac:dyDescent="0.25">
      <c r="A28" s="33" t="s">
        <v>498</v>
      </c>
      <c r="B28" s="32">
        <f>IFERROR(VLOOKUP(A28,'TARIFS 12 2025'!B5:J527,9,FALSE),"")</f>
        <v>2.72</v>
      </c>
      <c r="C28" s="36">
        <v>0.33</v>
      </c>
      <c r="D28" s="34">
        <f t="shared" si="4"/>
        <v>0.89760000000000006</v>
      </c>
      <c r="E28" s="33" t="s">
        <v>223</v>
      </c>
      <c r="F28" s="32">
        <f>IFERROR(VLOOKUP(E28,'TARIFS 12 2025'!B27:J494,9,FALSE),"")</f>
        <v>12.78</v>
      </c>
      <c r="G28" s="36">
        <v>1.5</v>
      </c>
      <c r="H28" s="34">
        <f t="shared" si="5"/>
        <v>19.169999999999998</v>
      </c>
      <c r="I28" s="33" t="s">
        <v>498</v>
      </c>
      <c r="J28" s="32">
        <f>IFERROR(VLOOKUP(I28,'TARIFS 12 2025'!B5:J493,9,FALSE),"")</f>
        <v>2.72</v>
      </c>
      <c r="K28" s="36">
        <v>0.33</v>
      </c>
      <c r="L28" s="34">
        <f t="shared" si="6"/>
        <v>0.89760000000000006</v>
      </c>
      <c r="M28" s="33"/>
      <c r="N28" s="32" t="str">
        <f>IFERROR(VLOOKUP(M28,'TARIFS 12 2025'!B5:J503,9,FALSE),"")</f>
        <v/>
      </c>
      <c r="O28" s="36">
        <v>1.25</v>
      </c>
      <c r="P28" s="34" t="e">
        <f t="shared" si="7"/>
        <v>#VALUE!</v>
      </c>
    </row>
    <row r="29" spans="1:16" x14ac:dyDescent="0.25">
      <c r="A29" s="33" t="s">
        <v>170</v>
      </c>
      <c r="B29" s="32">
        <f>IFERROR(VLOOKUP(A29,'TARIFS 12 2025'!B6:J528,9,FALSE),"")</f>
        <v>2.66</v>
      </c>
      <c r="C29" s="36">
        <v>2</v>
      </c>
      <c r="D29" s="34">
        <f t="shared" si="4"/>
        <v>5.32</v>
      </c>
      <c r="E29" s="33" t="s">
        <v>378</v>
      </c>
      <c r="F29" s="32">
        <f>IFERROR(VLOOKUP(E29,'TARIFS 12 2025'!B28:J495,9,FALSE),"")</f>
        <v>1.464</v>
      </c>
      <c r="G29" s="36">
        <v>0.13500000000000001</v>
      </c>
      <c r="H29" s="34">
        <f t="shared" si="5"/>
        <v>0.19764000000000001</v>
      </c>
      <c r="I29" s="33" t="s">
        <v>170</v>
      </c>
      <c r="J29" s="32">
        <f>IFERROR(VLOOKUP(I29,'TARIFS 12 2025'!B6:J494,9,FALSE),"")</f>
        <v>2.66</v>
      </c>
      <c r="K29" s="36">
        <v>2</v>
      </c>
      <c r="L29" s="34">
        <f t="shared" si="6"/>
        <v>5.32</v>
      </c>
      <c r="M29" s="33"/>
      <c r="N29" s="32" t="str">
        <f>IFERROR(VLOOKUP(M29,'TARIFS 12 2025'!B6:J504,9,FALSE),"")</f>
        <v/>
      </c>
      <c r="O29" s="36"/>
      <c r="P29" s="34" t="e">
        <f t="shared" si="7"/>
        <v>#VALUE!</v>
      </c>
    </row>
    <row r="30" spans="1:16" x14ac:dyDescent="0.25">
      <c r="A30" s="33" t="s">
        <v>669</v>
      </c>
      <c r="B30" s="32">
        <f>IFERROR(VLOOKUP(A30,'TARIFS 12 2025'!B7:J529,9,FALSE),"")</f>
        <v>2.5</v>
      </c>
      <c r="C30" s="36">
        <v>0.2</v>
      </c>
      <c r="D30" s="34">
        <f t="shared" si="4"/>
        <v>0.5</v>
      </c>
      <c r="E30" s="33" t="s">
        <v>69</v>
      </c>
      <c r="F30" s="32">
        <f>IFERROR(VLOOKUP(E30,'TARIFS 12 2025'!B29:J496,9,FALSE),"")</f>
        <v>4.8</v>
      </c>
      <c r="G30" s="36">
        <v>0.375</v>
      </c>
      <c r="H30" s="34">
        <f t="shared" si="5"/>
        <v>1.7999999999999998</v>
      </c>
      <c r="I30" s="33" t="s">
        <v>669</v>
      </c>
      <c r="J30" s="32">
        <f>IFERROR(VLOOKUP(I30,'TARIFS 12 2025'!B7:J495,9,FALSE),"")</f>
        <v>2.5</v>
      </c>
      <c r="K30" s="36">
        <v>0.2</v>
      </c>
      <c r="L30" s="34">
        <f t="shared" si="6"/>
        <v>0.5</v>
      </c>
      <c r="M30" s="33"/>
      <c r="N30" s="32" t="str">
        <f>IFERROR(VLOOKUP(M30,'TARIFS 12 2025'!B7:J505,9,FALSE),"")</f>
        <v/>
      </c>
      <c r="O30" s="36"/>
      <c r="P30" s="34" t="e">
        <f t="shared" si="7"/>
        <v>#VALUE!</v>
      </c>
    </row>
    <row r="31" spans="1:16" x14ac:dyDescent="0.25">
      <c r="A31" s="33" t="s">
        <v>69</v>
      </c>
      <c r="B31" s="32">
        <f>IFERROR(VLOOKUP(A31,'TARIFS 12 2025'!B8:J530,9,FALSE),"")</f>
        <v>4.8</v>
      </c>
      <c r="C31" s="36">
        <v>0.86399999999999999</v>
      </c>
      <c r="D31" s="34">
        <f t="shared" si="4"/>
        <v>4.1471999999999998</v>
      </c>
      <c r="E31" s="33" t="s">
        <v>854</v>
      </c>
      <c r="F31" s="32">
        <f>IFERROR(VLOOKUP(E31,'TARIFS 12 2025'!B8:J498,9,FALSE),"")</f>
        <v>0.86</v>
      </c>
      <c r="G31" s="36">
        <v>0.6</v>
      </c>
      <c r="H31" s="34">
        <f t="shared" si="5"/>
        <v>0.51600000000000001</v>
      </c>
      <c r="I31" s="33" t="s">
        <v>69</v>
      </c>
      <c r="J31" s="32">
        <f>IFERROR(VLOOKUP(I31,'TARIFS 12 2025'!B8:J496,9,FALSE),"")</f>
        <v>4.8</v>
      </c>
      <c r="K31" s="36">
        <v>0.86399999999999999</v>
      </c>
      <c r="L31" s="34">
        <f t="shared" si="6"/>
        <v>4.1471999999999998</v>
      </c>
      <c r="M31" s="33"/>
      <c r="N31" s="32" t="str">
        <f>IFERROR(VLOOKUP(M31,'TARIFS 12 2025'!B8:J506,9,FALSE),"")</f>
        <v/>
      </c>
      <c r="O31" s="36"/>
      <c r="P31" s="34" t="e">
        <f t="shared" si="7"/>
        <v>#VALUE!</v>
      </c>
    </row>
    <row r="32" spans="1:16" x14ac:dyDescent="0.25">
      <c r="A32" s="33" t="s">
        <v>854</v>
      </c>
      <c r="B32" s="32">
        <f>IFERROR(VLOOKUP(A32,'TARIFS 12 2025'!B9:J531,9,FALSE),"")</f>
        <v>0.86</v>
      </c>
      <c r="C32" s="36">
        <f>1.332+0.5</f>
        <v>1.8320000000000001</v>
      </c>
      <c r="D32" s="34">
        <f t="shared" si="4"/>
        <v>1.57552</v>
      </c>
      <c r="E32" s="33"/>
      <c r="F32" s="32" t="str">
        <f>IFERROR(VLOOKUP(E32,'TARIFS 12 2025'!B9:J499,9,FALSE),"")</f>
        <v/>
      </c>
      <c r="G32" s="36"/>
      <c r="H32" s="34"/>
      <c r="I32" s="33" t="s">
        <v>854</v>
      </c>
      <c r="J32" s="32">
        <f>IFERROR(VLOOKUP(I32,'TARIFS 12 2025'!B9:J497,9,FALSE),"")</f>
        <v>0.86</v>
      </c>
      <c r="K32" s="36">
        <v>0.1</v>
      </c>
      <c r="L32" s="34">
        <f t="shared" si="6"/>
        <v>8.6000000000000007E-2</v>
      </c>
      <c r="M32" s="33"/>
      <c r="N32" s="32" t="str">
        <f>IFERROR(VLOOKUP(M32,'TARIFS 12 2025'!B9:J507,9,FALSE),"")</f>
        <v/>
      </c>
      <c r="O32" s="36"/>
      <c r="P32" s="34" t="e">
        <f t="shared" si="7"/>
        <v>#VALUE!</v>
      </c>
    </row>
    <row r="33" spans="1:16" x14ac:dyDescent="0.25">
      <c r="A33" s="33" t="s">
        <v>79</v>
      </c>
      <c r="B33" s="32">
        <f>IFERROR(VLOOKUP(A33,'TARIFS 12 2025'!B10:J532,9,FALSE),"")</f>
        <v>3.29</v>
      </c>
      <c r="C33" s="36">
        <v>0.25</v>
      </c>
      <c r="D33" s="34">
        <f t="shared" si="4"/>
        <v>0.82250000000000001</v>
      </c>
      <c r="E33" s="33"/>
      <c r="F33" s="32" t="str">
        <f>IFERROR(VLOOKUP(E33,'TARIFS 12 2025'!B10:J500,9,FALSE),"")</f>
        <v/>
      </c>
      <c r="G33" s="36"/>
      <c r="H33" s="34"/>
      <c r="I33" s="33" t="s">
        <v>710</v>
      </c>
      <c r="J33" s="32">
        <f>IFERROR(VLOOKUP(I33,'TARIFS 12 2025'!B10:J498,9,FALSE),"")</f>
        <v>9.17</v>
      </c>
      <c r="K33" s="36">
        <v>0.5</v>
      </c>
      <c r="L33" s="34">
        <f t="shared" si="6"/>
        <v>4.585</v>
      </c>
      <c r="M33" s="33"/>
      <c r="N33" s="32" t="str">
        <f>IFERROR(VLOOKUP(M33,'TARIFS 12 2025'!B10:J508,9,FALSE),"")</f>
        <v/>
      </c>
      <c r="O33" s="36"/>
      <c r="P33" s="34" t="e">
        <f t="shared" si="7"/>
        <v>#VALUE!</v>
      </c>
    </row>
    <row r="34" spans="1:16" x14ac:dyDescent="0.25">
      <c r="A34" s="33" t="s">
        <v>110</v>
      </c>
      <c r="B34" s="32">
        <f>IFERROR(VLOOKUP(A34,'TARIFS 12 2025'!B33:J494,9,FALSE),"")</f>
        <v>6.8780000000000004E-3</v>
      </c>
      <c r="C34" s="36">
        <v>8</v>
      </c>
      <c r="D34" s="34">
        <f t="shared" si="4"/>
        <v>5.5024000000000003E-2</v>
      </c>
      <c r="E34" s="33"/>
      <c r="F34" s="32" t="str">
        <f>IFERROR(VLOOKUP(E34,'TARIFS 12 2025'!B11:J501,9,FALSE),"")</f>
        <v/>
      </c>
      <c r="G34" s="36"/>
      <c r="H34" s="34"/>
      <c r="I34" s="33" t="s">
        <v>110</v>
      </c>
      <c r="J34" s="32">
        <f>IFERROR(VLOOKUP(I34,'TARIFS 12 2025'!B11:J499,9,FALSE),"")</f>
        <v>6.8780000000000004E-3</v>
      </c>
      <c r="K34" s="36">
        <v>8</v>
      </c>
      <c r="L34" s="34">
        <f t="shared" si="6"/>
        <v>5.5024000000000003E-2</v>
      </c>
      <c r="M34" s="33"/>
      <c r="N34" s="32" t="str">
        <f>IFERROR(VLOOKUP(M34,'TARIFS 12 2025'!B11:J509,9,FALSE),"")</f>
        <v/>
      </c>
      <c r="O34" s="36"/>
      <c r="P34" s="34" t="e">
        <f t="shared" si="7"/>
        <v>#VALUE!</v>
      </c>
    </row>
    <row r="35" spans="1:16" x14ac:dyDescent="0.25">
      <c r="A35" s="33"/>
      <c r="B35" s="32" t="str">
        <f>IFERROR(VLOOKUP(A35,'TARIFS 12 2025'!B12:J534,9,FALSE),"")</f>
        <v/>
      </c>
      <c r="C35" s="36"/>
      <c r="D35" s="34"/>
      <c r="E35" s="33"/>
      <c r="F35" s="32"/>
      <c r="G35" s="36"/>
      <c r="H35" s="34"/>
      <c r="I35" s="33"/>
      <c r="J35" s="32" t="str">
        <f>IFERROR(VLOOKUP(I35,'TARIFS 12 2025'!B12:J500,9,FALSE),"")</f>
        <v/>
      </c>
      <c r="K35" s="36"/>
      <c r="L35" s="34"/>
      <c r="M35" s="33"/>
      <c r="N35" s="32"/>
      <c r="O35" s="36"/>
      <c r="P35" s="34"/>
    </row>
    <row r="36" spans="1:16" x14ac:dyDescent="0.25">
      <c r="A36" s="33"/>
      <c r="B36" s="32"/>
      <c r="C36" s="36"/>
      <c r="D36" s="34"/>
      <c r="E36" s="33"/>
      <c r="F36" s="32" t="str">
        <f>IFERROR(VLOOKUP(E36,'TARIFS 12 2025'!B13:J503,9,FALSE),"")</f>
        <v/>
      </c>
      <c r="G36" s="36"/>
      <c r="H36" s="34"/>
      <c r="I36" s="33"/>
      <c r="J36" s="32" t="str">
        <f>IFERROR(VLOOKUP(I36,'TARIFS 12 2025'!F13:N503,9,FALSE),"")</f>
        <v/>
      </c>
      <c r="K36" s="36"/>
      <c r="L36" s="34"/>
      <c r="M36" s="33"/>
      <c r="N36" s="32" t="str">
        <f>IFERROR(VLOOKUP(M36,'TARIFS 12 2025'!J13:R503,9,FALSE),"")</f>
        <v/>
      </c>
      <c r="O36" s="36"/>
      <c r="P36" s="34"/>
    </row>
    <row r="37" spans="1:16" x14ac:dyDescent="0.25">
      <c r="A37" s="33"/>
      <c r="B37" s="32"/>
      <c r="C37" s="36"/>
      <c r="D37" s="34"/>
      <c r="E37" s="33"/>
      <c r="F37" s="32" t="str">
        <f>IFERROR(VLOOKUP(E37,'TARIFS 12 2025'!B14:J504,9,FALSE),"")</f>
        <v/>
      </c>
      <c r="G37" s="36"/>
      <c r="H37" s="34"/>
      <c r="I37" s="33"/>
      <c r="J37" s="32" t="str">
        <f>IFERROR(VLOOKUP(I37,'TARIFS 12 2025'!F14:N504,9,FALSE),"")</f>
        <v/>
      </c>
      <c r="K37" s="36"/>
      <c r="L37" s="34"/>
      <c r="M37" s="33"/>
      <c r="N37" s="32" t="str">
        <f>IFERROR(VLOOKUP(M37,'TARIFS 12 2025'!J14:R504,9,FALSE),"")</f>
        <v/>
      </c>
      <c r="O37" s="36"/>
      <c r="P37" s="34"/>
    </row>
    <row r="38" spans="1:16" x14ac:dyDescent="0.25">
      <c r="A38" s="24"/>
      <c r="D38" s="25"/>
      <c r="E38" s="24"/>
      <c r="H38" s="25"/>
      <c r="I38" s="24"/>
      <c r="L38" s="25"/>
      <c r="M38" s="24"/>
      <c r="P38" s="25"/>
    </row>
    <row r="39" spans="1:16" x14ac:dyDescent="0.25">
      <c r="A39" s="24"/>
      <c r="C39" t="s">
        <v>991</v>
      </c>
      <c r="D39" s="26">
        <f>SUM(D26:D34)</f>
        <v>25.267455256544505</v>
      </c>
      <c r="E39" s="24"/>
      <c r="G39" t="s">
        <v>992</v>
      </c>
      <c r="H39" s="26">
        <f>+SUM(H26:H37)</f>
        <v>30.440337643979056</v>
      </c>
      <c r="I39" s="24"/>
      <c r="K39" t="s">
        <v>993</v>
      </c>
      <c r="L39" s="26">
        <f>+SUM(L26:L37)</f>
        <v>28.087152861256545</v>
      </c>
      <c r="M39" s="24"/>
      <c r="O39" t="s">
        <v>950</v>
      </c>
      <c r="P39" s="26" t="e">
        <f>+SUM(P26:P37)</f>
        <v>#VALUE!</v>
      </c>
    </row>
    <row r="40" spans="1:16" x14ac:dyDescent="0.25">
      <c r="A40" s="24"/>
      <c r="C40" t="s">
        <v>939</v>
      </c>
      <c r="D40" s="27">
        <f>+D39/60</f>
        <v>0.42112425427574174</v>
      </c>
      <c r="E40" s="24"/>
      <c r="G40" t="s">
        <v>939</v>
      </c>
      <c r="H40" s="27">
        <f>+H39/60</f>
        <v>0.50733896073298423</v>
      </c>
      <c r="I40" s="24"/>
      <c r="K40" t="s">
        <v>939</v>
      </c>
      <c r="L40" s="27">
        <f>+L39/65</f>
        <v>0.43211004401933145</v>
      </c>
      <c r="M40" s="24"/>
      <c r="O40" t="s">
        <v>939</v>
      </c>
      <c r="P40" s="27" t="e">
        <f>+P39/112</f>
        <v>#VALUE!</v>
      </c>
    </row>
    <row r="41" spans="1:16" x14ac:dyDescent="0.25">
      <c r="A41" s="24"/>
      <c r="C41" t="s">
        <v>940</v>
      </c>
      <c r="D41" s="25">
        <v>2.8</v>
      </c>
      <c r="E41" s="24"/>
      <c r="G41" t="s">
        <v>940</v>
      </c>
      <c r="H41" s="25">
        <v>3.4</v>
      </c>
      <c r="I41" s="24"/>
      <c r="K41" t="s">
        <v>940</v>
      </c>
      <c r="L41" s="25">
        <v>2.8</v>
      </c>
      <c r="M41" s="24"/>
      <c r="O41" t="s">
        <v>940</v>
      </c>
      <c r="P41" s="25">
        <v>2.8</v>
      </c>
    </row>
    <row r="42" spans="1:16" x14ac:dyDescent="0.25">
      <c r="A42" s="24"/>
      <c r="C42" t="s">
        <v>941</v>
      </c>
      <c r="D42" s="27">
        <f>D41/(1+5.5/100)</f>
        <v>2.6540284360189572</v>
      </c>
      <c r="E42" s="24"/>
      <c r="G42" t="s">
        <v>941</v>
      </c>
      <c r="H42" s="27">
        <f>H41/(1+5.5/100)</f>
        <v>3.2227488151658767</v>
      </c>
      <c r="I42" s="24"/>
      <c r="K42" t="s">
        <v>941</v>
      </c>
      <c r="L42" s="27">
        <f>L41/(1+5.5/100)</f>
        <v>2.6540284360189572</v>
      </c>
      <c r="M42" s="24"/>
      <c r="O42" t="s">
        <v>941</v>
      </c>
      <c r="P42" s="27">
        <f>P41/(1+5.5/100)</f>
        <v>2.6540284360189572</v>
      </c>
    </row>
    <row r="43" spans="1:16" ht="15.75" x14ac:dyDescent="0.25">
      <c r="A43" s="24"/>
      <c r="C43" t="s">
        <v>942</v>
      </c>
      <c r="D43" s="31">
        <f>+D42/D40</f>
        <v>6.3022454989760934</v>
      </c>
      <c r="E43" s="24"/>
      <c r="G43" t="s">
        <v>942</v>
      </c>
      <c r="H43" s="31">
        <f>H42/H40</f>
        <v>6.3522596618831928</v>
      </c>
      <c r="I43" s="24"/>
      <c r="K43" t="s">
        <v>942</v>
      </c>
      <c r="L43" s="31">
        <f>+L42/L40</f>
        <v>6.1420197765646547</v>
      </c>
      <c r="M43" s="24"/>
      <c r="O43" t="s">
        <v>942</v>
      </c>
      <c r="P43" s="31" t="e">
        <f>+P42/P40</f>
        <v>#VALUE!</v>
      </c>
    </row>
    <row r="44" spans="1:16" x14ac:dyDescent="0.25">
      <c r="A44" s="28"/>
      <c r="B44" s="29"/>
      <c r="C44" s="29" t="s">
        <v>0</v>
      </c>
      <c r="D44" s="30">
        <f>(D42-D40)*100/D42</f>
        <v>84.132639704967588</v>
      </c>
      <c r="E44" s="28"/>
      <c r="F44" s="29"/>
      <c r="G44" s="29" t="s">
        <v>0</v>
      </c>
      <c r="H44" s="30">
        <f>(H42-H40)*100/H42</f>
        <v>84.257570483138295</v>
      </c>
      <c r="I44" s="28"/>
      <c r="J44" s="29"/>
      <c r="K44" s="29" t="s">
        <v>0</v>
      </c>
      <c r="L44" s="30">
        <f>(L42-L40)*100/L42</f>
        <v>83.718710841414477</v>
      </c>
      <c r="M44" s="28"/>
      <c r="N44" s="29"/>
      <c r="O44" s="29" t="s">
        <v>0</v>
      </c>
      <c r="P44" s="30" t="e">
        <f>(P42-P40)*100/P42</f>
        <v>#VALUE!</v>
      </c>
    </row>
    <row r="45" spans="1:16" ht="18.75" x14ac:dyDescent="0.25">
      <c r="A45" s="174" t="s">
        <v>994</v>
      </c>
      <c r="B45" s="175"/>
      <c r="C45" s="175"/>
      <c r="D45" s="176"/>
      <c r="E45" s="174" t="s">
        <v>995</v>
      </c>
      <c r="F45" s="175"/>
      <c r="G45" s="175"/>
      <c r="H45" s="176"/>
      <c r="I45" s="174" t="s">
        <v>996</v>
      </c>
      <c r="J45" s="175"/>
      <c r="K45" s="175"/>
      <c r="L45" s="176"/>
      <c r="M45" s="174" t="s">
        <v>1079</v>
      </c>
      <c r="N45" s="175"/>
      <c r="O45" s="175"/>
      <c r="P45" s="176"/>
    </row>
    <row r="46" spans="1:16" x14ac:dyDescent="0.25">
      <c r="A46" s="37"/>
      <c r="B46" s="6" t="s">
        <v>933</v>
      </c>
      <c r="C46" s="6" t="s">
        <v>934</v>
      </c>
      <c r="D46" s="38"/>
      <c r="E46" s="37"/>
      <c r="F46" s="6" t="s">
        <v>933</v>
      </c>
      <c r="G46" s="6" t="s">
        <v>934</v>
      </c>
      <c r="H46" s="38"/>
      <c r="I46" s="37"/>
      <c r="J46" s="6" t="s">
        <v>933</v>
      </c>
      <c r="K46" s="6" t="s">
        <v>934</v>
      </c>
      <c r="L46" s="38"/>
      <c r="M46" s="37"/>
      <c r="N46" s="6" t="s">
        <v>933</v>
      </c>
      <c r="O46" s="6" t="s">
        <v>934</v>
      </c>
      <c r="P46" s="38"/>
    </row>
    <row r="47" spans="1:16" x14ac:dyDescent="0.25">
      <c r="A47" s="33" t="s">
        <v>412</v>
      </c>
      <c r="B47" s="32">
        <f>IFERROR(VLOOKUP(A47,'TARIFS 12 2025'!B24:J546,9,FALSE),"")</f>
        <v>5.3890000000000002</v>
      </c>
      <c r="C47" s="36">
        <f>0.48+0.54</f>
        <v>1.02</v>
      </c>
      <c r="D47" s="34">
        <f t="shared" ref="D47:D57" si="8">+C47*B47</f>
        <v>5.4967800000000002</v>
      </c>
      <c r="E47" s="33" t="s">
        <v>272</v>
      </c>
      <c r="F47" s="32">
        <f>IFERROR(VLOOKUP(E47,'TARIFS 12 2025'!B46:J513,9,FALSE),"")</f>
        <v>4.0000000000000001E-3</v>
      </c>
      <c r="G47" s="36">
        <v>6</v>
      </c>
      <c r="H47" s="34">
        <f>+G47*F47</f>
        <v>2.4E-2</v>
      </c>
      <c r="I47" s="33" t="s">
        <v>520</v>
      </c>
      <c r="J47" s="32">
        <v>7.6</v>
      </c>
      <c r="K47" s="36">
        <v>0.24</v>
      </c>
      <c r="L47" s="34">
        <f t="shared" ref="L47:L58" si="9">+K47*J47</f>
        <v>1.8239999999999998</v>
      </c>
      <c r="M47" s="33" t="s">
        <v>272</v>
      </c>
      <c r="N47" s="32" t="str">
        <f>IFERROR(VLOOKUP(M47,'TARIFS 12 2025'!F24:N512,9,FALSE),"")</f>
        <v/>
      </c>
      <c r="O47" s="36">
        <v>6</v>
      </c>
      <c r="P47" s="34"/>
    </row>
    <row r="48" spans="1:16" x14ac:dyDescent="0.25">
      <c r="A48" s="33" t="s">
        <v>854</v>
      </c>
      <c r="B48" s="32">
        <f>IFERROR(VLOOKUP(A48,'TARIFS 12 2025'!B25:J547,9,FALSE),"")</f>
        <v>0.86</v>
      </c>
      <c r="C48" s="36">
        <f>0.6+0.1</f>
        <v>0.7</v>
      </c>
      <c r="D48" s="34">
        <f t="shared" si="8"/>
        <v>0.60199999999999998</v>
      </c>
      <c r="E48" s="33" t="s">
        <v>69</v>
      </c>
      <c r="F48" s="130">
        <v>3.48</v>
      </c>
      <c r="G48" s="36">
        <v>3</v>
      </c>
      <c r="H48" s="34">
        <f t="shared" ref="H48:H56" si="10">+G48*F48</f>
        <v>10.44</v>
      </c>
      <c r="I48" s="33" t="s">
        <v>94</v>
      </c>
      <c r="J48" s="32">
        <v>4.45</v>
      </c>
      <c r="K48" s="36">
        <v>0.86</v>
      </c>
      <c r="L48" s="34">
        <f t="shared" si="9"/>
        <v>3.827</v>
      </c>
      <c r="M48" s="33" t="s">
        <v>69</v>
      </c>
      <c r="N48" s="32">
        <f>IFERROR(VLOOKUP(M48,'TARIFS 12 2025'!B25:J523,9,FALSE),"")</f>
        <v>4.8</v>
      </c>
      <c r="O48" s="36">
        <v>3</v>
      </c>
      <c r="P48" s="34">
        <f t="shared" ref="P48:P56" si="11">+O48*N48</f>
        <v>14.399999999999999</v>
      </c>
    </row>
    <row r="49" spans="1:16" x14ac:dyDescent="0.25">
      <c r="A49" s="33" t="s">
        <v>79</v>
      </c>
      <c r="B49" s="32">
        <f>IFERROR(VLOOKUP(A49,'TARIFS 12 2025'!B26:J548,9,FALSE),"")</f>
        <v>3.29</v>
      </c>
      <c r="C49" s="36">
        <v>0.72</v>
      </c>
      <c r="D49" s="34">
        <f t="shared" si="8"/>
        <v>2.3687999999999998</v>
      </c>
      <c r="E49" s="33" t="s">
        <v>831</v>
      </c>
      <c r="F49" s="130">
        <v>14.56</v>
      </c>
      <c r="G49" s="36">
        <v>0.06</v>
      </c>
      <c r="H49" s="34">
        <f t="shared" si="10"/>
        <v>0.87360000000000004</v>
      </c>
      <c r="I49" s="33" t="s">
        <v>854</v>
      </c>
      <c r="J49" s="32">
        <f>IFERROR(VLOOKUP(I49,'TARIFS 12 2025'!B26:J514,9,FALSE),"")</f>
        <v>0.86</v>
      </c>
      <c r="K49" s="36">
        <f>0.17+0.15+0.42</f>
        <v>0.74</v>
      </c>
      <c r="L49" s="34">
        <f t="shared" si="9"/>
        <v>0.63639999999999997</v>
      </c>
      <c r="M49" s="33" t="s">
        <v>831</v>
      </c>
      <c r="N49" s="32">
        <f>IFERROR(VLOOKUP(M49,'TARIFS 12 2025'!B26:J524,9,FALSE),"")</f>
        <v>0.27</v>
      </c>
      <c r="O49" s="36">
        <v>0.06</v>
      </c>
      <c r="P49" s="34">
        <f t="shared" si="11"/>
        <v>1.6199999999999999E-2</v>
      </c>
    </row>
    <row r="50" spans="1:16" x14ac:dyDescent="0.25">
      <c r="A50" s="33" t="s">
        <v>312</v>
      </c>
      <c r="B50" s="32">
        <f>IFERROR(VLOOKUP(A50,'TARIFS 12 2025'!B27:J549,9,FALSE),"")</f>
        <v>0.67500000000000004</v>
      </c>
      <c r="C50" s="36">
        <v>0.6</v>
      </c>
      <c r="D50" s="34">
        <f t="shared" si="8"/>
        <v>0.40500000000000003</v>
      </c>
      <c r="E50" s="33" t="s">
        <v>854</v>
      </c>
      <c r="F50" s="130">
        <v>1.6</v>
      </c>
      <c r="G50" s="36">
        <v>0.06</v>
      </c>
      <c r="H50" s="34">
        <f t="shared" si="10"/>
        <v>9.6000000000000002E-2</v>
      </c>
      <c r="I50" s="33" t="s">
        <v>79</v>
      </c>
      <c r="J50" s="32">
        <f>IFERROR(VLOOKUP(I50,'TARIFS 12 2025'!B27:J515,9,FALSE),"")</f>
        <v>3.29</v>
      </c>
      <c r="K50" s="36">
        <v>1</v>
      </c>
      <c r="L50" s="34">
        <f t="shared" si="9"/>
        <v>3.29</v>
      </c>
      <c r="M50" s="33" t="s">
        <v>854</v>
      </c>
      <c r="N50" s="32">
        <f>IFERROR(VLOOKUP(M50,'TARIFS 12 2025'!B27:J525,9,FALSE),"")</f>
        <v>0.86</v>
      </c>
      <c r="O50" s="36">
        <v>0.06</v>
      </c>
      <c r="P50" s="34">
        <f t="shared" si="11"/>
        <v>5.16E-2</v>
      </c>
    </row>
    <row r="51" spans="1:16" x14ac:dyDescent="0.25">
      <c r="A51" s="33" t="s">
        <v>53</v>
      </c>
      <c r="B51" s="32">
        <v>8.7899999999999991</v>
      </c>
      <c r="C51" s="36">
        <v>0.112</v>
      </c>
      <c r="D51" s="34">
        <f t="shared" si="8"/>
        <v>0.98447999999999991</v>
      </c>
      <c r="E51" s="33" t="s">
        <v>314</v>
      </c>
      <c r="F51" s="130">
        <v>8.4499999999999993</v>
      </c>
      <c r="G51" s="36">
        <v>3.6</v>
      </c>
      <c r="H51" s="34">
        <f t="shared" si="10"/>
        <v>30.419999999999998</v>
      </c>
      <c r="I51" s="33" t="s">
        <v>312</v>
      </c>
      <c r="J51" s="32">
        <f>IFERROR(VLOOKUP(I51,'TARIFS 12 2025'!B28:J516,9,FALSE),"")</f>
        <v>0.67500000000000004</v>
      </c>
      <c r="K51" s="36">
        <v>0.3</v>
      </c>
      <c r="L51" s="34">
        <f t="shared" si="9"/>
        <v>0.20250000000000001</v>
      </c>
      <c r="M51" s="33" t="s">
        <v>314</v>
      </c>
      <c r="N51" s="32">
        <f>IFERROR(VLOOKUP(M51,'TARIFS 12 2025'!B28:J526,9,FALSE),"")</f>
        <v>0.70499999999999996</v>
      </c>
      <c r="O51" s="36">
        <v>3.6</v>
      </c>
      <c r="P51" s="34">
        <f t="shared" si="11"/>
        <v>2.5379999999999998</v>
      </c>
    </row>
    <row r="52" spans="1:16" x14ac:dyDescent="0.25">
      <c r="A52" s="33" t="s">
        <v>705</v>
      </c>
      <c r="B52" s="32">
        <f>IFERROR(VLOOKUP(A52,'TARIFS 12 2025'!B29:J551,9,FALSE),"")</f>
        <v>8.7100000000000009</v>
      </c>
      <c r="C52" s="36">
        <v>2</v>
      </c>
      <c r="D52" s="34">
        <f t="shared" si="8"/>
        <v>17.420000000000002</v>
      </c>
      <c r="E52" s="33" t="s">
        <v>498</v>
      </c>
      <c r="F52" s="32">
        <f>IFERROR(VLOOKUP(E52,'TARIFS 12 2025'!B29:J519,9,FALSE),"")</f>
        <v>2.72</v>
      </c>
      <c r="G52" s="36">
        <v>4.125</v>
      </c>
      <c r="H52" s="34">
        <f t="shared" si="10"/>
        <v>11.22</v>
      </c>
      <c r="I52" s="33" t="s">
        <v>419</v>
      </c>
      <c r="J52" s="32">
        <f>IFERROR(VLOOKUP(I52,'TARIFS 12 2025'!B29:J517,9,FALSE),"")</f>
        <v>0.79</v>
      </c>
      <c r="K52" s="36">
        <v>0.38</v>
      </c>
      <c r="L52" s="34">
        <f t="shared" si="9"/>
        <v>0.30020000000000002</v>
      </c>
      <c r="M52" s="33" t="s">
        <v>498</v>
      </c>
      <c r="N52" s="32">
        <f>IFERROR(VLOOKUP(M52,'TARIFS 12 2025'!B29:J527,9,FALSE),"")</f>
        <v>2.72</v>
      </c>
      <c r="O52" s="36">
        <v>4.125</v>
      </c>
      <c r="P52" s="34">
        <f t="shared" si="11"/>
        <v>11.22</v>
      </c>
    </row>
    <row r="53" spans="1:16" x14ac:dyDescent="0.25">
      <c r="A53" s="33" t="s">
        <v>555</v>
      </c>
      <c r="B53" s="32">
        <f>IFERROR(VLOOKUP(A53,'TARIFS 12 2025'!B30:J552,9,FALSE),"")</f>
        <v>43.9</v>
      </c>
      <c r="C53" s="36">
        <v>0.03</v>
      </c>
      <c r="D53" s="34">
        <f t="shared" si="8"/>
        <v>1.3169999999999999</v>
      </c>
      <c r="E53" s="33" t="s">
        <v>247</v>
      </c>
      <c r="F53" s="32">
        <f>IFERROR(VLOOKUP(E53,'TARIFS 12 2025'!B30:J520,9,FALSE),"")</f>
        <v>0.97750000000000004</v>
      </c>
      <c r="G53" s="36">
        <f>26*90/100</f>
        <v>23.4</v>
      </c>
      <c r="H53" s="34">
        <f t="shared" si="10"/>
        <v>22.8735</v>
      </c>
      <c r="I53" s="33" t="s">
        <v>412</v>
      </c>
      <c r="J53" s="32">
        <f>IFERROR(VLOOKUP(I53,'TARIFS 12 2025'!B30:J518,9,FALSE),"")</f>
        <v>5.3890000000000002</v>
      </c>
      <c r="K53" s="36">
        <v>0.17</v>
      </c>
      <c r="L53" s="34">
        <f t="shared" si="9"/>
        <v>0.91613000000000011</v>
      </c>
      <c r="M53" s="33" t="s">
        <v>69</v>
      </c>
      <c r="N53" s="32">
        <f>IFERROR(VLOOKUP(M53,'TARIFS 12 2025'!B30:J528,9,FALSE),"")</f>
        <v>4.8</v>
      </c>
      <c r="O53" s="36">
        <v>4.33</v>
      </c>
      <c r="P53" s="34">
        <f t="shared" si="11"/>
        <v>20.783999999999999</v>
      </c>
    </row>
    <row r="54" spans="1:16" x14ac:dyDescent="0.25">
      <c r="A54" s="33" t="s">
        <v>186</v>
      </c>
      <c r="B54" s="32">
        <f>IFERROR(VLOOKUP(A54,'TARIFS 12 2025'!B31:J553,9,FALSE),"")</f>
        <v>3.8</v>
      </c>
      <c r="C54" s="36">
        <v>1</v>
      </c>
      <c r="D54" s="34">
        <f t="shared" si="8"/>
        <v>3.8</v>
      </c>
      <c r="E54" s="33" t="s">
        <v>19</v>
      </c>
      <c r="F54" s="32">
        <v>2.75</v>
      </c>
      <c r="G54" s="36">
        <v>0.5</v>
      </c>
      <c r="H54" s="34">
        <f t="shared" si="10"/>
        <v>1.375</v>
      </c>
      <c r="I54" s="33" t="s">
        <v>378</v>
      </c>
      <c r="J54" s="32">
        <f>IFERROR(VLOOKUP(I54,'TARIFS 12 2025'!B31:J519,9,FALSE),"")</f>
        <v>1.464</v>
      </c>
      <c r="K54" s="36">
        <v>0.08</v>
      </c>
      <c r="L54" s="34">
        <f t="shared" si="9"/>
        <v>0.11712</v>
      </c>
      <c r="M54" s="33" t="s">
        <v>681</v>
      </c>
      <c r="N54" s="32">
        <f>IFERROR(VLOOKUP(M54,'TARIFS 12 2025'!B31:J529,9,FALSE),"")</f>
        <v>6.25</v>
      </c>
      <c r="O54" s="36">
        <v>6.5</v>
      </c>
      <c r="P54" s="34">
        <f t="shared" si="11"/>
        <v>40.625</v>
      </c>
    </row>
    <row r="55" spans="1:16" x14ac:dyDescent="0.25">
      <c r="A55" s="33" t="s">
        <v>419</v>
      </c>
      <c r="B55" s="32">
        <f>IFERROR(VLOOKUP(A55,'TARIFS 12 2025'!B54:J515,9,FALSE),"")</f>
        <v>0.79</v>
      </c>
      <c r="C55" s="36">
        <v>2.5</v>
      </c>
      <c r="D55" s="34">
        <f t="shared" si="8"/>
        <v>1.9750000000000001</v>
      </c>
      <c r="E55" s="33" t="s">
        <v>338</v>
      </c>
      <c r="F55" s="32">
        <f>IFERROR(VLOOKUP(E55,'TARIFS 12 2025'!B32:J522,9,FALSE),"")</f>
        <v>1.83</v>
      </c>
      <c r="G55" s="36">
        <f>0.02*400</f>
        <v>8</v>
      </c>
      <c r="H55" s="34">
        <f t="shared" si="10"/>
        <v>14.64</v>
      </c>
      <c r="I55" s="33" t="s">
        <v>228</v>
      </c>
      <c r="J55" s="32">
        <f>IFERROR(VLOOKUP(I55,'TARIFS 12 2025'!B32:J520,9,FALSE),"")</f>
        <v>3.02</v>
      </c>
      <c r="K55" s="36">
        <v>0.85</v>
      </c>
      <c r="L55" s="34">
        <f t="shared" si="9"/>
        <v>2.5669999999999997</v>
      </c>
      <c r="M55" s="33" t="s">
        <v>247</v>
      </c>
      <c r="N55" s="32">
        <f>IFERROR(VLOOKUP(M55,'TARIFS 12 2025'!B32:J530,9,FALSE),"")</f>
        <v>0.97750000000000004</v>
      </c>
      <c r="O55" s="36">
        <v>13</v>
      </c>
      <c r="P55" s="34">
        <f t="shared" si="11"/>
        <v>12.7075</v>
      </c>
    </row>
    <row r="56" spans="1:16" x14ac:dyDescent="0.25">
      <c r="A56" s="33" t="s">
        <v>374</v>
      </c>
      <c r="B56" s="32">
        <f>IFERROR(VLOOKUP(A56,'TARIFS 12 2025'!B33:J555,9,FALSE),"")</f>
        <v>20.56</v>
      </c>
      <c r="C56" s="36">
        <v>1</v>
      </c>
      <c r="D56" s="34">
        <f t="shared" si="8"/>
        <v>20.56</v>
      </c>
      <c r="E56" s="33" t="s">
        <v>413</v>
      </c>
      <c r="F56" s="32">
        <f>IFERROR(VLOOKUP(E56,'TARIFS 12 2025'!B33:J523,9,FALSE),"")</f>
        <v>7.9</v>
      </c>
      <c r="G56" s="36">
        <v>2.6</v>
      </c>
      <c r="H56" s="34">
        <f t="shared" si="10"/>
        <v>20.540000000000003</v>
      </c>
      <c r="I56" s="33" t="s">
        <v>374</v>
      </c>
      <c r="J56" s="32">
        <f>IFERROR(VLOOKUP(I56,'TARIFS 12 2025'!B33:J521,9,FALSE),"")</f>
        <v>20.56</v>
      </c>
      <c r="K56" s="36">
        <v>1.4E-2</v>
      </c>
      <c r="L56" s="34">
        <f t="shared" si="9"/>
        <v>0.28783999999999998</v>
      </c>
      <c r="M56" s="33" t="s">
        <v>38</v>
      </c>
      <c r="N56" s="32">
        <v>5.15</v>
      </c>
      <c r="O56" s="36">
        <v>4</v>
      </c>
      <c r="P56" s="34">
        <f t="shared" si="11"/>
        <v>20.6</v>
      </c>
    </row>
    <row r="57" spans="1:16" x14ac:dyDescent="0.25">
      <c r="A57" s="33" t="s">
        <v>243</v>
      </c>
      <c r="B57" s="32">
        <v>3.95</v>
      </c>
      <c r="C57" s="36">
        <v>2.2000000000000002</v>
      </c>
      <c r="D57" s="34">
        <f t="shared" si="8"/>
        <v>8.6900000000000013</v>
      </c>
      <c r="E57" s="33"/>
      <c r="F57" s="32"/>
      <c r="G57" s="36"/>
      <c r="H57" s="34"/>
      <c r="I57" s="33" t="s">
        <v>219</v>
      </c>
      <c r="J57" s="32">
        <f>IFERROR(VLOOKUP(I57,'TARIFS 12 2025'!B34:J522,9,FALSE),"")</f>
        <v>10.85</v>
      </c>
      <c r="K57" s="36">
        <v>1.02</v>
      </c>
      <c r="L57" s="34">
        <f t="shared" si="9"/>
        <v>11.067</v>
      </c>
      <c r="M57" s="33"/>
      <c r="N57" s="32" t="s">
        <v>1080</v>
      </c>
      <c r="O57" s="36"/>
      <c r="P57" s="34"/>
    </row>
    <row r="58" spans="1:16" x14ac:dyDescent="0.25">
      <c r="A58" s="33"/>
      <c r="B58" s="32"/>
      <c r="C58" s="36"/>
      <c r="D58" s="34"/>
      <c r="E58" s="33"/>
      <c r="F58" s="32"/>
      <c r="G58" s="36"/>
      <c r="H58" s="34"/>
      <c r="I58" s="33" t="s">
        <v>243</v>
      </c>
      <c r="J58" s="32">
        <f>IFERROR(VLOOKUP(I58,'TARIFS 12 2025'!B35:J523,9,FALSE),"")</f>
        <v>3.92</v>
      </c>
      <c r="K58" s="36">
        <v>1.6</v>
      </c>
      <c r="L58" s="34">
        <f t="shared" si="9"/>
        <v>6.2720000000000002</v>
      </c>
      <c r="M58" s="33"/>
      <c r="N58" s="32"/>
      <c r="O58" s="36"/>
      <c r="P58" s="34"/>
    </row>
    <row r="59" spans="1:16" x14ac:dyDescent="0.25">
      <c r="A59" s="24"/>
      <c r="D59" s="25"/>
      <c r="E59" s="24"/>
      <c r="H59" s="25"/>
      <c r="I59" s="33" t="s">
        <v>67</v>
      </c>
      <c r="J59" s="32">
        <v>5.9</v>
      </c>
      <c r="K59" s="36">
        <v>0.26</v>
      </c>
      <c r="L59" s="34">
        <f>+K59*J59</f>
        <v>1.5340000000000003</v>
      </c>
      <c r="M59" s="24"/>
      <c r="P59" s="25"/>
    </row>
    <row r="60" spans="1:16" x14ac:dyDescent="0.25">
      <c r="A60" s="24"/>
      <c r="C60" t="s">
        <v>997</v>
      </c>
      <c r="D60" s="26">
        <f>SUM(D47:D57)</f>
        <v>63.61905999999999</v>
      </c>
      <c r="E60" s="24"/>
      <c r="G60" t="s">
        <v>998</v>
      </c>
      <c r="H60" s="26">
        <f>SUM(H47:H56)</f>
        <v>112.50210000000001</v>
      </c>
      <c r="I60" s="24"/>
      <c r="K60" t="s">
        <v>999</v>
      </c>
      <c r="L60" s="26">
        <f>SUM(L47:L59)</f>
        <v>32.841189999999997</v>
      </c>
      <c r="M60" s="24"/>
      <c r="O60" t="s">
        <v>998</v>
      </c>
      <c r="P60" s="26">
        <f>+SUM(P47:P58)</f>
        <v>122.94229999999999</v>
      </c>
    </row>
    <row r="61" spans="1:16" x14ac:dyDescent="0.25">
      <c r="A61" s="24"/>
      <c r="C61" t="s">
        <v>939</v>
      </c>
      <c r="D61" s="27">
        <f>+D60/108</f>
        <v>0.58906537037037032</v>
      </c>
      <c r="E61" s="24"/>
      <c r="G61" t="s">
        <v>939</v>
      </c>
      <c r="H61" s="27">
        <f>+H60/400</f>
        <v>0.28125525000000001</v>
      </c>
      <c r="I61" s="24"/>
      <c r="K61" t="s">
        <v>939</v>
      </c>
      <c r="L61" s="27">
        <f>L60/54</f>
        <v>0.60817018518518517</v>
      </c>
      <c r="M61" s="24"/>
      <c r="O61" t="s">
        <v>939</v>
      </c>
      <c r="P61" s="27">
        <f>+P60/400</f>
        <v>0.30735574999999998</v>
      </c>
    </row>
    <row r="62" spans="1:16" x14ac:dyDescent="0.25">
      <c r="A62" s="24"/>
      <c r="C62" t="s">
        <v>940</v>
      </c>
      <c r="D62" s="25">
        <v>3.4</v>
      </c>
      <c r="E62" s="24"/>
      <c r="G62" t="s">
        <v>940</v>
      </c>
      <c r="H62" s="25">
        <v>2.6</v>
      </c>
      <c r="I62" s="24"/>
      <c r="K62" t="s">
        <v>940</v>
      </c>
      <c r="L62" s="25">
        <v>3.8</v>
      </c>
      <c r="M62" s="24"/>
      <c r="O62" t="s">
        <v>940</v>
      </c>
      <c r="P62" s="25">
        <v>2.9</v>
      </c>
    </row>
    <row r="63" spans="1:16" x14ac:dyDescent="0.25">
      <c r="A63" s="24"/>
      <c r="C63" t="s">
        <v>941</v>
      </c>
      <c r="D63" s="27">
        <f>D62/(1+5.5/100)</f>
        <v>3.2227488151658767</v>
      </c>
      <c r="E63" s="24"/>
      <c r="G63" t="s">
        <v>941</v>
      </c>
      <c r="H63" s="27">
        <f>H62/(1+5.5/100)</f>
        <v>2.4644549763033177</v>
      </c>
      <c r="I63" s="24"/>
      <c r="K63" t="s">
        <v>941</v>
      </c>
      <c r="L63" s="27">
        <v>3.8</v>
      </c>
      <c r="M63" s="24"/>
      <c r="O63" t="s">
        <v>941</v>
      </c>
      <c r="P63" s="27">
        <f>P62/(1+5.5/100)</f>
        <v>2.7488151658767772</v>
      </c>
    </row>
    <row r="64" spans="1:16" ht="15.75" x14ac:dyDescent="0.25">
      <c r="A64" s="24"/>
      <c r="C64" t="s">
        <v>942</v>
      </c>
      <c r="D64" s="31">
        <f>+D63/D61</f>
        <v>5.4709527622368945</v>
      </c>
      <c r="E64" s="24"/>
      <c r="G64" t="s">
        <v>942</v>
      </c>
      <c r="H64" s="31">
        <f>+H63/H61</f>
        <v>8.7623430186754465</v>
      </c>
      <c r="I64" s="24"/>
      <c r="K64" t="s">
        <v>942</v>
      </c>
      <c r="L64" s="31">
        <f>+L63/L61</f>
        <v>6.2482510530221349</v>
      </c>
      <c r="M64" s="24"/>
      <c r="O64" t="s">
        <v>942</v>
      </c>
      <c r="P64" s="31">
        <f>+P63/P61</f>
        <v>8.9434317265148842</v>
      </c>
    </row>
    <row r="65" spans="1:16" x14ac:dyDescent="0.25">
      <c r="A65" s="28"/>
      <c r="B65" s="29"/>
      <c r="C65" s="29" t="s">
        <v>0</v>
      </c>
      <c r="D65" s="30">
        <f>(D63-D61)*100/D63</f>
        <v>81.721648066448807</v>
      </c>
      <c r="E65" s="28"/>
      <c r="F65" s="29"/>
      <c r="G65" s="29" t="s">
        <v>0</v>
      </c>
      <c r="H65" s="30">
        <f>(H63-H61)*100/H63</f>
        <v>88.587527355769225</v>
      </c>
      <c r="I65" s="28"/>
      <c r="J65" s="29"/>
      <c r="K65" s="29" t="s">
        <v>0</v>
      </c>
      <c r="L65" s="30">
        <f>(L63-L61)*100/L63</f>
        <v>83.995521442495132</v>
      </c>
      <c r="M65" s="28"/>
      <c r="N65" s="29"/>
      <c r="O65" s="29" t="s">
        <v>0</v>
      </c>
      <c r="P65" s="30">
        <f>(P63-P61)*100/P63</f>
        <v>88.818609784482746</v>
      </c>
    </row>
  </sheetData>
  <mergeCells count="12">
    <mergeCell ref="A45:D45"/>
    <mergeCell ref="E45:H45"/>
    <mergeCell ref="I45:L45"/>
    <mergeCell ref="M45:P45"/>
    <mergeCell ref="A2:D2"/>
    <mergeCell ref="E2:H2"/>
    <mergeCell ref="I2:L2"/>
    <mergeCell ref="M2:P2"/>
    <mergeCell ref="A24:D24"/>
    <mergeCell ref="E24:H24"/>
    <mergeCell ref="I24:L24"/>
    <mergeCell ref="M24:P24"/>
  </mergeCells>
  <phoneticPr fontId="13" alignment="center"/>
  <conditionalFormatting sqref="D21">
    <cfRule type="cellIs" dxfId="161" priority="60" operator="lessThan">
      <formula>$B$1/2</formula>
    </cfRule>
    <cfRule type="cellIs" dxfId="160" priority="58" operator="greaterThan">
      <formula>$B$1</formula>
    </cfRule>
    <cfRule type="cellIs" dxfId="159" priority="59" operator="between">
      <formula>$B$1/2</formula>
      <formula>$B$1</formula>
    </cfRule>
  </conditionalFormatting>
  <conditionalFormatting sqref="D43">
    <cfRule type="cellIs" dxfId="158" priority="36" operator="lessThan">
      <formula>$B$1/2</formula>
    </cfRule>
    <cfRule type="cellIs" dxfId="157" priority="35" operator="between">
      <formula>$B$1/2</formula>
      <formula>$B$1</formula>
    </cfRule>
    <cfRule type="cellIs" dxfId="156" priority="34" operator="greaterThan">
      <formula>$B$1</formula>
    </cfRule>
  </conditionalFormatting>
  <conditionalFormatting sqref="D64">
    <cfRule type="cellIs" dxfId="155" priority="19" operator="greaterThan">
      <formula>$B$1</formula>
    </cfRule>
    <cfRule type="cellIs" dxfId="154" priority="20" operator="between">
      <formula>$B$1/2</formula>
      <formula>$B$1</formula>
    </cfRule>
    <cfRule type="cellIs" dxfId="153" priority="21" operator="lessThan">
      <formula>$B$1/2</formula>
    </cfRule>
  </conditionalFormatting>
  <conditionalFormatting sqref="H21">
    <cfRule type="cellIs" dxfId="152" priority="55" operator="greaterThan">
      <formula>$B$1</formula>
    </cfRule>
    <cfRule type="cellIs" dxfId="151" priority="56" operator="between">
      <formula>$B$1/2</formula>
      <formula>$B$1</formula>
    </cfRule>
    <cfRule type="cellIs" dxfId="150" priority="57" operator="lessThan">
      <formula>$B$1/2</formula>
    </cfRule>
  </conditionalFormatting>
  <conditionalFormatting sqref="H43">
    <cfRule type="cellIs" dxfId="149" priority="31" operator="greaterThan">
      <formula>$B$1</formula>
    </cfRule>
    <cfRule type="cellIs" dxfId="148" priority="32" operator="between">
      <formula>$B$1/2</formula>
      <formula>$B$1</formula>
    </cfRule>
    <cfRule type="cellIs" dxfId="147" priority="33" operator="lessThan">
      <formula>$B$1/2</formula>
    </cfRule>
  </conditionalFormatting>
  <conditionalFormatting sqref="H64">
    <cfRule type="cellIs" dxfId="146" priority="15" operator="lessThan">
      <formula>$B$1/2</formula>
    </cfRule>
    <cfRule type="cellIs" dxfId="145" priority="14" operator="between">
      <formula>$B$1/2</formula>
      <formula>$B$1</formula>
    </cfRule>
    <cfRule type="cellIs" dxfId="144" priority="13" operator="greaterThan">
      <formula>$B$1</formula>
    </cfRule>
  </conditionalFormatting>
  <conditionalFormatting sqref="L21">
    <cfRule type="cellIs" dxfId="143" priority="28" operator="greaterThan">
      <formula>$B$1</formula>
    </cfRule>
    <cfRule type="cellIs" dxfId="142" priority="29" operator="between">
      <formula>$B$1/2</formula>
      <formula>$B$1</formula>
    </cfRule>
    <cfRule type="cellIs" dxfId="141" priority="30" operator="lessThan">
      <formula>$B$1/2</formula>
    </cfRule>
  </conditionalFormatting>
  <conditionalFormatting sqref="L43 P43">
    <cfRule type="cellIs" dxfId="140" priority="4" operator="greaterThan">
      <formula>$B$1</formula>
    </cfRule>
    <cfRule type="cellIs" dxfId="139" priority="5" operator="between">
      <formula>$B$1/2</formula>
      <formula>$B$1</formula>
    </cfRule>
    <cfRule type="cellIs" dxfId="138" priority="6" operator="lessThan">
      <formula>$B$1/2</formula>
    </cfRule>
  </conditionalFormatting>
  <conditionalFormatting sqref="L64">
    <cfRule type="cellIs" dxfId="137" priority="10" operator="greaterThan">
      <formula>$B$1</formula>
    </cfRule>
    <cfRule type="cellIs" dxfId="136" priority="12" operator="lessThan">
      <formula>$B$1/2</formula>
    </cfRule>
    <cfRule type="cellIs" dxfId="135" priority="11" operator="between">
      <formula>$B$1/2</formula>
      <formula>$B$1</formula>
    </cfRule>
  </conditionalFormatting>
  <conditionalFormatting sqref="P21">
    <cfRule type="cellIs" dxfId="134" priority="2" operator="between">
      <formula>$B$1/2</formula>
      <formula>$B$1</formula>
    </cfRule>
    <cfRule type="cellIs" dxfId="133" priority="3" operator="lessThan">
      <formula>$B$1/2</formula>
    </cfRule>
    <cfRule type="cellIs" dxfId="132" priority="1" operator="greaterThan">
      <formula>$B$1</formula>
    </cfRule>
  </conditionalFormatting>
  <conditionalFormatting sqref="P64">
    <cfRule type="cellIs" dxfId="131" priority="7" operator="greaterThan">
      <formula>$B$1</formula>
    </cfRule>
    <cfRule type="cellIs" dxfId="130" priority="8" operator="between">
      <formula>$B$1/2</formula>
      <formula>$B$1</formula>
    </cfRule>
    <cfRule type="cellIs" dxfId="129" priority="9" operator="lessThan">
      <formula>$B$1/2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E3B3F5-EE1A-4DC9-AB1B-813EA296EC40}">
          <x14:formula1>
            <xm:f>'TARIFS 12 2025'!$B:$B</xm:f>
          </x14:formula1>
          <xm:sqref>E4:E15 I47:I59 I26:I37 A47:A58 E26:E37 M26:M37 E47:E58 A26:A37 A4:A15 M4:M15 I4:I15 M47:M58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50BF-577E-4557-B3AC-B74090B3DA2C}">
  <sheetPr codeName="Feuil9">
    <tabColor theme="5" tint="0.59999389629810485"/>
  </sheetPr>
  <dimension ref="A1:P107"/>
  <sheetViews>
    <sheetView zoomScale="90" zoomScaleNormal="90" workbookViewId="0">
      <selection activeCell="I71" sqref="I71"/>
    </sheetView>
  </sheetViews>
  <sheetFormatPr baseColWidth="10" defaultColWidth="10.7109375" defaultRowHeight="15" x14ac:dyDescent="0.25"/>
  <cols>
    <col min="1" max="1" width="33.7109375" customWidth="1"/>
    <col min="4" max="4" width="11.42578125" customWidth="1"/>
    <col min="5" max="5" width="33.7109375" customWidth="1"/>
    <col min="9" max="9" width="33.7109375" customWidth="1"/>
    <col min="13" max="13" width="33.7109375" customWidth="1"/>
  </cols>
  <sheetData>
    <row r="1" spans="1:16" ht="15.75" thickBot="1" x14ac:dyDescent="0.3">
      <c r="A1" s="39" t="s">
        <v>928</v>
      </c>
      <c r="B1" s="40">
        <v>4</v>
      </c>
    </row>
    <row r="2" spans="1:16" ht="22.5" customHeight="1" thickBot="1" x14ac:dyDescent="0.3">
      <c r="A2" s="174" t="s">
        <v>1000</v>
      </c>
      <c r="B2" s="175"/>
      <c r="C2" s="175"/>
      <c r="D2" s="176"/>
      <c r="E2" s="174" t="s">
        <v>1001</v>
      </c>
      <c r="F2" s="175"/>
      <c r="G2" s="175"/>
      <c r="H2" s="176"/>
      <c r="I2" s="174" t="s">
        <v>1002</v>
      </c>
      <c r="J2" s="175"/>
      <c r="K2" s="175"/>
      <c r="L2" s="176"/>
      <c r="M2" s="174" t="s">
        <v>1003</v>
      </c>
      <c r="N2" s="175"/>
      <c r="O2" s="175"/>
      <c r="P2" s="176"/>
    </row>
    <row r="3" spans="1:16" x14ac:dyDescent="0.25">
      <c r="A3" s="37"/>
      <c r="B3" s="6" t="s">
        <v>933</v>
      </c>
      <c r="C3" s="6" t="s">
        <v>934</v>
      </c>
      <c r="D3" s="38"/>
      <c r="E3" s="37"/>
      <c r="F3" s="6" t="s">
        <v>933</v>
      </c>
      <c r="G3" s="6" t="s">
        <v>934</v>
      </c>
      <c r="H3" s="38"/>
      <c r="I3" s="37"/>
      <c r="J3" s="6" t="s">
        <v>933</v>
      </c>
      <c r="K3" s="6" t="s">
        <v>934</v>
      </c>
      <c r="L3" s="38"/>
      <c r="M3" s="37"/>
      <c r="N3" s="6" t="s">
        <v>933</v>
      </c>
      <c r="O3" s="6" t="s">
        <v>934</v>
      </c>
      <c r="P3" s="38"/>
    </row>
    <row r="4" spans="1:16" x14ac:dyDescent="0.25">
      <c r="A4" s="33" t="s">
        <v>553</v>
      </c>
      <c r="B4" s="32">
        <f>IFERROR(VLOOKUP(A4,'TARIFS 12 2025'!B3:J487,9,FALSE),"")</f>
        <v>0.11275431235431235</v>
      </c>
      <c r="C4" s="36">
        <v>0.2</v>
      </c>
      <c r="D4" s="34">
        <f>+C4*B4</f>
        <v>2.2550862470862472E-2</v>
      </c>
      <c r="E4" s="33" t="s">
        <v>553</v>
      </c>
      <c r="F4" s="32">
        <f>IFERROR(VLOOKUP(E4,'TARIFS 12 2025'!B3:J466,9,FALSE),"")</f>
        <v>0.11275431235431235</v>
      </c>
      <c r="G4" s="36">
        <v>0.2</v>
      </c>
      <c r="H4" s="34">
        <f>+G4*F4</f>
        <v>2.2550862470862472E-2</v>
      </c>
      <c r="I4" s="33" t="s">
        <v>553</v>
      </c>
      <c r="J4" s="32">
        <f>IFERROR(VLOOKUP(I4,'TARIFS 12 2025'!B3:J502,9,FALSE),"")</f>
        <v>0.11275431235431235</v>
      </c>
      <c r="K4" s="36">
        <v>0.2</v>
      </c>
      <c r="L4" s="34">
        <f>+K4*J4</f>
        <v>2.2550862470862472E-2</v>
      </c>
      <c r="M4" s="33" t="s">
        <v>553</v>
      </c>
      <c r="N4" s="32">
        <f>IFERROR(VLOOKUP(M4,'TARIFS 12 2025'!B3:J510,9,FALSE),"")</f>
        <v>0.11275431235431235</v>
      </c>
      <c r="O4" s="36">
        <v>0.25</v>
      </c>
      <c r="P4" s="34">
        <f>+O4*N4</f>
        <v>2.8188578088578088E-2</v>
      </c>
    </row>
    <row r="5" spans="1:16" x14ac:dyDescent="0.25">
      <c r="A5" s="33" t="s">
        <v>863</v>
      </c>
      <c r="B5" s="32" t="str">
        <f>IFERROR(VLOOKUP(A5,'TARIFS 12 2025'!B4:J461,9,FALSE),"")</f>
        <v/>
      </c>
      <c r="C5" s="36">
        <v>0.02</v>
      </c>
      <c r="D5" s="34" t="e">
        <f t="shared" ref="D5:D7" si="0">+C5*B5</f>
        <v>#VALUE!</v>
      </c>
      <c r="E5" s="33" t="s">
        <v>447</v>
      </c>
      <c r="F5" s="32">
        <f>IFERROR(VLOOKUP(E5,'TARIFS 12 2025'!B4:J469,9,FALSE),"")/5</f>
        <v>2.16</v>
      </c>
      <c r="G5" s="36">
        <v>7.0000000000000007E-2</v>
      </c>
      <c r="H5" s="34">
        <f t="shared" ref="H5:H8" si="1">+G5*F5</f>
        <v>0.15120000000000003</v>
      </c>
      <c r="I5" s="33" t="s">
        <v>868</v>
      </c>
      <c r="J5" s="32">
        <f>IFERROR(VLOOKUP(I5,'TARIFS 12 2025'!B4:J503,9,FALSE),"")</f>
        <v>3.88</v>
      </c>
      <c r="K5" s="36">
        <v>0.09</v>
      </c>
      <c r="L5" s="34">
        <f t="shared" ref="L5:L7" si="2">+K5*J5</f>
        <v>0.34919999999999995</v>
      </c>
      <c r="M5" s="33" t="s">
        <v>447</v>
      </c>
      <c r="N5" s="32">
        <f>IFERROR(VLOOKUP(M5,'TARIFS 12 2025'!B4:J511,9,FALSE),"")/5</f>
        <v>2.16</v>
      </c>
      <c r="O5" s="36">
        <v>7.0000000000000007E-2</v>
      </c>
      <c r="P5" s="34">
        <f t="shared" ref="P5:P8" si="3">+O5*N5</f>
        <v>0.15120000000000003</v>
      </c>
    </row>
    <row r="6" spans="1:16" x14ac:dyDescent="0.25">
      <c r="A6" s="33" t="s">
        <v>407</v>
      </c>
      <c r="B6" s="32">
        <f>IFERROR(VLOOKUP(A6,'TARIFS 12 2025'!B5:J462,9,FALSE),"")/20</f>
        <v>0.34950000000000003</v>
      </c>
      <c r="C6" s="36">
        <v>0.75</v>
      </c>
      <c r="D6" s="34">
        <f t="shared" si="0"/>
        <v>0.26212500000000005</v>
      </c>
      <c r="E6" s="33" t="s">
        <v>797</v>
      </c>
      <c r="F6" s="32">
        <f>IFERROR(VLOOKUP(E6,'TARIFS 12 2025'!B5:J470,9,FALSE),"")</f>
        <v>4.95</v>
      </c>
      <c r="G6" s="36">
        <v>0.01</v>
      </c>
      <c r="H6" s="34">
        <f t="shared" si="1"/>
        <v>4.9500000000000002E-2</v>
      </c>
      <c r="I6" s="33" t="s">
        <v>797</v>
      </c>
      <c r="J6" s="32">
        <f>IFERROR(VLOOKUP(I6,'TARIFS 12 2025'!B5:J504,9,FALSE),"")</f>
        <v>4.95</v>
      </c>
      <c r="K6" s="36">
        <v>0.01</v>
      </c>
      <c r="L6" s="34">
        <f t="shared" si="2"/>
        <v>4.9500000000000002E-2</v>
      </c>
      <c r="M6" s="33" t="s">
        <v>797</v>
      </c>
      <c r="N6" s="32">
        <f>IFERROR(VLOOKUP(M6,'TARIFS 12 2025'!B5:J512,9,FALSE),"")</f>
        <v>4.95</v>
      </c>
      <c r="O6" s="36">
        <v>1E-3</v>
      </c>
      <c r="P6" s="34">
        <f t="shared" si="3"/>
        <v>4.9500000000000004E-3</v>
      </c>
    </row>
    <row r="7" spans="1:16" x14ac:dyDescent="0.25">
      <c r="A7" s="33" t="s">
        <v>296</v>
      </c>
      <c r="B7" s="32">
        <f>IFERROR(VLOOKUP(A7,'TARIFS 12 2025'!B6:J463,9,FALSE),"")/40</f>
        <v>4.7499999999999999E-3</v>
      </c>
      <c r="C7" s="36">
        <v>1.5</v>
      </c>
      <c r="D7" s="34">
        <f t="shared" si="0"/>
        <v>7.1249999999999994E-3</v>
      </c>
      <c r="E7" s="33" t="s">
        <v>880</v>
      </c>
      <c r="F7" s="32">
        <f>IFERROR(VLOOKUP(E7,'TARIFS 12 2025'!B6:J471,9,FALSE),"")</f>
        <v>2.25</v>
      </c>
      <c r="G7" s="36">
        <v>0.03</v>
      </c>
      <c r="H7" s="34">
        <f t="shared" si="1"/>
        <v>6.7500000000000004E-2</v>
      </c>
      <c r="I7" s="33" t="s">
        <v>880</v>
      </c>
      <c r="J7" s="32">
        <f>IFERROR(VLOOKUP(I7,'TARIFS 12 2025'!B6:J505,9,FALSE),"")</f>
        <v>2.25</v>
      </c>
      <c r="K7" s="36">
        <v>0.03</v>
      </c>
      <c r="L7" s="34">
        <f t="shared" si="2"/>
        <v>6.7500000000000004E-2</v>
      </c>
      <c r="M7" s="33" t="s">
        <v>880</v>
      </c>
      <c r="N7" s="32">
        <f>IFERROR(VLOOKUP(M7,'TARIFS 12 2025'!B6:J513,9,FALSE),"")</f>
        <v>2.25</v>
      </c>
      <c r="O7" s="36">
        <v>0.03</v>
      </c>
      <c r="P7" s="34">
        <f t="shared" si="3"/>
        <v>6.7500000000000004E-2</v>
      </c>
    </row>
    <row r="8" spans="1:16" x14ac:dyDescent="0.25">
      <c r="A8" s="33"/>
      <c r="B8" s="32" t="str">
        <f>IFERROR(VLOOKUP(A8,'TARIFS 12 2025'!B7:J463,9,FALSE),"")</f>
        <v/>
      </c>
      <c r="C8" s="36"/>
      <c r="D8" s="34"/>
      <c r="E8" s="33" t="s">
        <v>291</v>
      </c>
      <c r="F8" s="32">
        <f>IFERROR(VLOOKUP(E8,'TARIFS 12 2025'!B7:J472,9,FALSE),"")</f>
        <v>7.4</v>
      </c>
      <c r="G8" s="36">
        <v>0.05</v>
      </c>
      <c r="H8" s="34">
        <f t="shared" si="1"/>
        <v>0.37000000000000005</v>
      </c>
      <c r="I8" s="33"/>
      <c r="J8" s="32" t="str">
        <f>IFERROR(VLOOKUP(I8,'TARIFS 12 2025'!B7:J506,9,FALSE),"")</f>
        <v/>
      </c>
      <c r="K8" s="36"/>
      <c r="L8" s="34"/>
      <c r="M8" s="33" t="s">
        <v>407</v>
      </c>
      <c r="N8" s="32">
        <f>IFERROR(VLOOKUP(M8,'TARIFS 12 2025'!B7:J514,9,FALSE),"")/20</f>
        <v>0.34950000000000003</v>
      </c>
      <c r="O8" s="36">
        <v>1.5</v>
      </c>
      <c r="P8" s="34">
        <f t="shared" si="3"/>
        <v>0.5242500000000001</v>
      </c>
    </row>
    <row r="9" spans="1:16" x14ac:dyDescent="0.25">
      <c r="A9" s="33"/>
      <c r="B9" s="32" t="str">
        <f>IFERROR(VLOOKUP(A9,'TARIFS 12 2025'!B8:J464,9,FALSE),"")</f>
        <v/>
      </c>
      <c r="C9" s="36"/>
      <c r="D9" s="34"/>
      <c r="E9" s="33"/>
      <c r="F9" s="32" t="str">
        <f>IFERROR(VLOOKUP(E9,'TARIFS 12 2025'!B8:J473,9,FALSE),"")</f>
        <v/>
      </c>
      <c r="G9" s="36"/>
      <c r="H9" s="34"/>
      <c r="I9" s="33"/>
      <c r="J9" s="32" t="str">
        <f>IFERROR(VLOOKUP(I9,'TARIFS 12 2025'!B8:J507,9,FALSE),"")</f>
        <v/>
      </c>
      <c r="K9" s="36"/>
      <c r="L9" s="34"/>
      <c r="M9" s="33"/>
      <c r="N9" s="32" t="str">
        <f>IFERROR(VLOOKUP(M9,'TARIFS 12 2025'!B8:J515,9,FALSE),"")</f>
        <v/>
      </c>
      <c r="O9" s="36"/>
      <c r="P9" s="34"/>
    </row>
    <row r="10" spans="1:16" x14ac:dyDescent="0.25">
      <c r="A10" s="33"/>
      <c r="B10" s="32" t="str">
        <f>IFERROR(VLOOKUP(A10,'TARIFS 12 2025'!B9:J465,9,FALSE),"")</f>
        <v/>
      </c>
      <c r="C10" s="36"/>
      <c r="D10" s="34"/>
      <c r="E10" s="33"/>
      <c r="F10" s="32" t="str">
        <f>IFERROR(VLOOKUP(E10,'TARIFS 12 2025'!B9:J474,9,FALSE),"")</f>
        <v/>
      </c>
      <c r="G10" s="36"/>
      <c r="H10" s="34"/>
      <c r="I10" s="33"/>
      <c r="J10" s="32" t="str">
        <f>IFERROR(VLOOKUP(I10,'TARIFS 12 2025'!B9:J508,9,FALSE),"")</f>
        <v/>
      </c>
      <c r="K10" s="36"/>
      <c r="L10" s="34"/>
      <c r="M10" s="33"/>
      <c r="N10" s="32" t="str">
        <f>IFERROR(VLOOKUP(M10,'TARIFS 12 2025'!B9:J516,9,FALSE),"")</f>
        <v/>
      </c>
      <c r="O10" s="36"/>
      <c r="P10" s="34"/>
    </row>
    <row r="11" spans="1:16" x14ac:dyDescent="0.25">
      <c r="A11" s="33"/>
      <c r="B11" s="32" t="str">
        <f>IFERROR(VLOOKUP(A11,'TARIFS 12 2025'!B10:J466,9,FALSE),"")</f>
        <v/>
      </c>
      <c r="C11" s="36"/>
      <c r="D11" s="34"/>
      <c r="E11" s="33"/>
      <c r="F11" s="32"/>
      <c r="G11" s="36"/>
      <c r="H11" s="34"/>
      <c r="I11" s="33"/>
      <c r="J11" s="32" t="str">
        <f>IFERROR(VLOOKUP(I11,'TARIFS 12 2025'!B10:J509,9,FALSE),"")</f>
        <v/>
      </c>
      <c r="K11" s="36"/>
      <c r="L11" s="34"/>
      <c r="M11" s="33"/>
      <c r="N11" s="32" t="str">
        <f>IFERROR(VLOOKUP(M11,'TARIFS 12 2025'!B10:J517,9,FALSE),"")</f>
        <v/>
      </c>
      <c r="O11" s="36"/>
      <c r="P11" s="34"/>
    </row>
    <row r="12" spans="1:16" x14ac:dyDescent="0.25">
      <c r="A12" s="33"/>
      <c r="B12" s="32" t="str">
        <f>IFERROR(VLOOKUP(A12,'TARIFS 12 2025'!B11:J469,9,FALSE),"")</f>
        <v/>
      </c>
      <c r="C12" s="36"/>
      <c r="D12" s="34"/>
      <c r="E12" s="33"/>
      <c r="F12" s="32"/>
      <c r="G12" s="36"/>
      <c r="H12" s="34"/>
      <c r="I12" s="33"/>
      <c r="J12" s="32" t="str">
        <f>IFERROR(VLOOKUP(I12,'TARIFS 12 2025'!B11:J510,9,FALSE),"")</f>
        <v/>
      </c>
      <c r="K12" s="36"/>
      <c r="L12" s="34"/>
      <c r="M12" s="33"/>
      <c r="N12" s="32" t="str">
        <f>IFERROR(VLOOKUP(M12,'TARIFS 12 2025'!B11:J518,9,FALSE),"")</f>
        <v/>
      </c>
      <c r="O12" s="36"/>
      <c r="P12" s="34"/>
    </row>
    <row r="13" spans="1:16" x14ac:dyDescent="0.25">
      <c r="A13" s="33"/>
      <c r="B13" s="32" t="str">
        <f>IFERROR(VLOOKUP(A13,'TARIFS 12 2025'!B12:J470,9,FALSE),"")</f>
        <v/>
      </c>
      <c r="C13" s="36"/>
      <c r="D13" s="34"/>
      <c r="E13" s="33"/>
      <c r="F13" s="32"/>
      <c r="G13" s="36"/>
      <c r="H13" s="34"/>
      <c r="I13" s="33"/>
      <c r="J13" s="32" t="str">
        <f>IFERROR(VLOOKUP(I13,'TARIFS 12 2025'!B12:J511,9,FALSE),"")</f>
        <v/>
      </c>
      <c r="K13" s="36"/>
      <c r="L13" s="34"/>
      <c r="M13" s="33"/>
      <c r="N13" s="32" t="str">
        <f>IFERROR(VLOOKUP(M13,'TARIFS 12 2025'!B12:J519,9,FALSE),"")</f>
        <v/>
      </c>
      <c r="O13" s="36"/>
      <c r="P13" s="34"/>
    </row>
    <row r="14" spans="1:16" x14ac:dyDescent="0.25">
      <c r="A14" s="33"/>
      <c r="B14" s="32" t="str">
        <f>IFERROR(VLOOKUP(A14,'TARIFS 12 2025'!B13:J471,9,FALSE),"")</f>
        <v/>
      </c>
      <c r="C14" s="36"/>
      <c r="D14" s="34"/>
      <c r="E14" s="33"/>
      <c r="F14" s="32"/>
      <c r="G14" s="36"/>
      <c r="H14" s="34"/>
      <c r="I14" s="33"/>
      <c r="J14" s="32" t="str">
        <f>IFERROR(VLOOKUP(I14,'TARIFS 12 2025'!B13:J512,9,FALSE),"")</f>
        <v/>
      </c>
      <c r="K14" s="36"/>
      <c r="L14" s="34"/>
      <c r="M14" s="33"/>
      <c r="N14" s="32" t="str">
        <f>IFERROR(VLOOKUP(M14,'TARIFS 12 2025'!B13:J520,9,FALSE),"")</f>
        <v/>
      </c>
      <c r="O14" s="36"/>
      <c r="P14" s="34"/>
    </row>
    <row r="15" spans="1:16" x14ac:dyDescent="0.25">
      <c r="A15" s="33"/>
      <c r="B15" s="32"/>
      <c r="C15" s="36"/>
      <c r="D15" s="34"/>
      <c r="E15" s="33"/>
      <c r="F15" s="32"/>
      <c r="G15" s="36"/>
      <c r="H15" s="34"/>
      <c r="I15" s="33"/>
      <c r="J15" s="32" t="str">
        <f>IFERROR(VLOOKUP(I15,'TARIFS 12 2025'!B14:J513,9,FALSE),"")</f>
        <v/>
      </c>
      <c r="K15" s="36"/>
      <c r="L15" s="34"/>
      <c r="M15" s="33"/>
      <c r="N15" s="32" t="str">
        <f>IFERROR(VLOOKUP(M15,'TARIFS 12 2025'!B14:J521,9,FALSE),"")</f>
        <v/>
      </c>
      <c r="O15" s="36"/>
      <c r="P15" s="34"/>
    </row>
    <row r="16" spans="1:16" x14ac:dyDescent="0.25">
      <c r="A16" s="24"/>
      <c r="D16" s="25"/>
      <c r="E16" s="24"/>
      <c r="H16" s="25"/>
      <c r="I16" s="24"/>
      <c r="L16" s="25"/>
      <c r="M16" s="24"/>
      <c r="P16" s="25"/>
    </row>
    <row r="17" spans="1:16" x14ac:dyDescent="0.25">
      <c r="A17" s="24"/>
      <c r="C17" t="s">
        <v>939</v>
      </c>
      <c r="D17" s="26" t="e">
        <f>+SUM(D4:D15)</f>
        <v>#VALUE!</v>
      </c>
      <c r="E17" s="24"/>
      <c r="G17" t="s">
        <v>939</v>
      </c>
      <c r="H17" s="26">
        <f>+SUM(H4:H15)</f>
        <v>0.66075086247086257</v>
      </c>
      <c r="I17" s="24"/>
      <c r="K17" t="s">
        <v>939</v>
      </c>
      <c r="L17" s="26">
        <f>+SUM(L4:L15)</f>
        <v>0.48875086247086241</v>
      </c>
      <c r="M17" s="24"/>
      <c r="O17" t="s">
        <v>939</v>
      </c>
      <c r="P17" s="26">
        <f>+SUM(P4:P15)</f>
        <v>0.77608857808857823</v>
      </c>
    </row>
    <row r="18" spans="1:16" x14ac:dyDescent="0.25">
      <c r="A18" s="24"/>
      <c r="C18" t="s">
        <v>939</v>
      </c>
      <c r="D18" s="27" t="e">
        <f>+D17</f>
        <v>#VALUE!</v>
      </c>
      <c r="E18" s="24"/>
      <c r="G18" t="s">
        <v>939</v>
      </c>
      <c r="H18" s="27">
        <f>+H17</f>
        <v>0.66075086247086257</v>
      </c>
      <c r="I18" s="24"/>
      <c r="K18" t="s">
        <v>939</v>
      </c>
      <c r="L18" s="27">
        <f>+L17</f>
        <v>0.48875086247086241</v>
      </c>
      <c r="M18" s="24"/>
      <c r="O18" t="s">
        <v>939</v>
      </c>
      <c r="P18" s="27">
        <f>+P17</f>
        <v>0.77608857808857823</v>
      </c>
    </row>
    <row r="19" spans="1:16" x14ac:dyDescent="0.25">
      <c r="A19" s="24"/>
      <c r="D19" s="25"/>
      <c r="E19" s="24"/>
      <c r="H19" s="25"/>
      <c r="I19" s="24"/>
      <c r="L19" s="25"/>
      <c r="M19" s="24"/>
      <c r="P19" s="25"/>
    </row>
    <row r="20" spans="1:16" x14ac:dyDescent="0.25">
      <c r="A20" s="24"/>
      <c r="C20" t="s">
        <v>941</v>
      </c>
      <c r="D20" s="27">
        <v>4.25</v>
      </c>
      <c r="E20" s="24"/>
      <c r="G20" t="s">
        <v>941</v>
      </c>
      <c r="H20" s="27">
        <v>4.25</v>
      </c>
      <c r="I20" s="24"/>
      <c r="K20" t="s">
        <v>941</v>
      </c>
      <c r="L20" s="27">
        <v>4.25</v>
      </c>
      <c r="M20" s="24"/>
      <c r="O20" t="s">
        <v>941</v>
      </c>
      <c r="P20" s="27">
        <v>4.25</v>
      </c>
    </row>
    <row r="21" spans="1:16" ht="15.75" x14ac:dyDescent="0.25">
      <c r="A21" s="24"/>
      <c r="C21" t="s">
        <v>942</v>
      </c>
      <c r="D21" s="31" t="e">
        <f>+D20/D18</f>
        <v>#VALUE!</v>
      </c>
      <c r="E21" s="24"/>
      <c r="G21" t="s">
        <v>942</v>
      </c>
      <c r="H21" s="31">
        <f>+H20/H18</f>
        <v>6.4320763564457915</v>
      </c>
      <c r="I21" s="24"/>
      <c r="K21" t="s">
        <v>942</v>
      </c>
      <c r="L21" s="31">
        <f>+L20/L18</f>
        <v>8.6956368291899846</v>
      </c>
      <c r="M21" s="24"/>
      <c r="O21" t="s">
        <v>942</v>
      </c>
      <c r="P21" s="31">
        <f>+P20/P18</f>
        <v>5.4761790341861332</v>
      </c>
    </row>
    <row r="22" spans="1:16" ht="15.75" thickBot="1" x14ac:dyDescent="0.3">
      <c r="A22" s="28"/>
      <c r="B22" s="29"/>
      <c r="C22" s="29" t="s">
        <v>0</v>
      </c>
      <c r="D22" s="94" t="e">
        <f>(D20-D18)/D20</f>
        <v>#VALUE!</v>
      </c>
      <c r="E22" s="28"/>
      <c r="F22" s="29"/>
      <c r="G22" s="29" t="s">
        <v>0</v>
      </c>
      <c r="H22" s="94">
        <f>(H20-H18)/H20</f>
        <v>0.84452920883038529</v>
      </c>
      <c r="I22" s="28"/>
      <c r="J22" s="29"/>
      <c r="K22" s="29" t="s">
        <v>0</v>
      </c>
      <c r="L22" s="94">
        <f>(L20-L18)/L20</f>
        <v>0.88499979706567944</v>
      </c>
      <c r="M22" s="28"/>
      <c r="N22" s="29"/>
      <c r="O22" s="29" t="s">
        <v>1004</v>
      </c>
      <c r="P22" s="30"/>
    </row>
    <row r="23" spans="1:16" ht="15.75" thickBot="1" x14ac:dyDescent="0.3"/>
    <row r="24" spans="1:16" ht="24.75" customHeight="1" thickBot="1" x14ac:dyDescent="0.3">
      <c r="A24" s="174" t="s">
        <v>1005</v>
      </c>
      <c r="B24" s="175"/>
      <c r="C24" s="175"/>
      <c r="D24" s="176"/>
      <c r="E24" s="174" t="s">
        <v>1006</v>
      </c>
      <c r="F24" s="175"/>
      <c r="G24" s="175"/>
      <c r="H24" s="176"/>
      <c r="I24" s="174" t="s">
        <v>1007</v>
      </c>
      <c r="J24" s="175"/>
      <c r="K24" s="175"/>
      <c r="L24" s="176"/>
      <c r="M24" s="174" t="s">
        <v>1008</v>
      </c>
      <c r="N24" s="175"/>
      <c r="O24" s="175"/>
      <c r="P24" s="176"/>
    </row>
    <row r="25" spans="1:16" x14ac:dyDescent="0.25">
      <c r="A25" s="37"/>
      <c r="B25" s="6" t="s">
        <v>933</v>
      </c>
      <c r="C25" s="6" t="s">
        <v>934</v>
      </c>
      <c r="D25" s="38"/>
      <c r="E25" s="37"/>
      <c r="F25" s="6" t="s">
        <v>933</v>
      </c>
      <c r="G25" s="6" t="s">
        <v>934</v>
      </c>
      <c r="H25" s="38"/>
      <c r="I25" s="37"/>
      <c r="J25" s="6" t="s">
        <v>933</v>
      </c>
      <c r="K25" s="6" t="s">
        <v>934</v>
      </c>
      <c r="L25" s="38"/>
      <c r="M25" s="37"/>
      <c r="N25" s="6" t="s">
        <v>933</v>
      </c>
      <c r="O25" s="6" t="s">
        <v>934</v>
      </c>
      <c r="P25" s="38"/>
    </row>
    <row r="26" spans="1:16" x14ac:dyDescent="0.25">
      <c r="A26" s="33" t="s">
        <v>665</v>
      </c>
      <c r="B26" s="32">
        <f>IFERROR(VLOOKUP(A26,'TARIFS 12 2025'!B3:J525,9,FALSE),"")/50</f>
        <v>6.9800000000000001E-2</v>
      </c>
      <c r="C26" s="36">
        <v>1</v>
      </c>
      <c r="D26" s="34">
        <f>+C26*B26</f>
        <v>6.9800000000000001E-2</v>
      </c>
      <c r="E26" s="33" t="s">
        <v>665</v>
      </c>
      <c r="F26" s="32">
        <v>0.1</v>
      </c>
      <c r="G26" s="36">
        <v>1</v>
      </c>
      <c r="H26" s="34">
        <f>+G26*F26</f>
        <v>0.1</v>
      </c>
      <c r="I26" s="33" t="s">
        <v>665</v>
      </c>
      <c r="J26" s="32">
        <v>0.1</v>
      </c>
      <c r="K26" s="36">
        <v>1</v>
      </c>
      <c r="L26" s="34">
        <f t="shared" ref="L26:L32" si="4">+K26*J26</f>
        <v>0.1</v>
      </c>
      <c r="M26" s="33" t="s">
        <v>663</v>
      </c>
      <c r="N26" s="32">
        <f>IFERROR(VLOOKUP(M26,'TARIFS 12 2025'!B3:J501,9,FALSE),"")</f>
        <v>5.8230000000000004</v>
      </c>
      <c r="O26" s="36">
        <v>0.02</v>
      </c>
      <c r="P26" s="34">
        <f>+O26*N26</f>
        <v>0.11646000000000001</v>
      </c>
    </row>
    <row r="27" spans="1:16" x14ac:dyDescent="0.25">
      <c r="A27" s="33" t="s">
        <v>885</v>
      </c>
      <c r="B27" s="32">
        <f>IFERROR(VLOOKUP(A27,'TARIFS 12 2025'!B4:J526,9,FALSE),"")/18</f>
        <v>0.21277777777777779</v>
      </c>
      <c r="C27" s="36">
        <v>1</v>
      </c>
      <c r="D27" s="34">
        <f>+C27*B27</f>
        <v>0.21277777777777779</v>
      </c>
      <c r="E27" s="33" t="s">
        <v>885</v>
      </c>
      <c r="F27" s="32">
        <v>0.3</v>
      </c>
      <c r="G27" s="36">
        <v>1</v>
      </c>
      <c r="H27" s="34">
        <f t="shared" ref="H27" si="5">+G27*F27</f>
        <v>0.3</v>
      </c>
      <c r="I27" s="33" t="s">
        <v>885</v>
      </c>
      <c r="J27" s="32">
        <v>0.3</v>
      </c>
      <c r="K27" s="36">
        <v>1</v>
      </c>
      <c r="L27" s="34">
        <f t="shared" si="4"/>
        <v>0.3</v>
      </c>
      <c r="M27" s="33" t="s">
        <v>230</v>
      </c>
      <c r="N27" s="32">
        <f>IFERROR(VLOOKUP(M27,'TARIFS 12 2025'!B4:J502,9,FALSE),"")</f>
        <v>3.27</v>
      </c>
      <c r="O27" s="36">
        <v>0.02</v>
      </c>
      <c r="P27" s="34">
        <f t="shared" ref="P27:P31" si="6">+O27*N27</f>
        <v>6.54E-2</v>
      </c>
    </row>
    <row r="28" spans="1:16" x14ac:dyDescent="0.25">
      <c r="A28" s="33" t="s">
        <v>808</v>
      </c>
      <c r="B28" s="32">
        <f>IFERROR(VLOOKUP(A28,'TARIFS 12 2025'!B5:J527,9,FALSE),"")/18</f>
        <v>0.14944444444444444</v>
      </c>
      <c r="C28" s="36">
        <v>0.03</v>
      </c>
      <c r="D28" s="34">
        <f t="shared" ref="D28:D34" si="7">+C28*B28</f>
        <v>4.4833333333333331E-3</v>
      </c>
      <c r="E28" s="33" t="s">
        <v>866</v>
      </c>
      <c r="F28" s="32">
        <f>IFERROR(VLOOKUP(E28,'TARIFS 12 2025'!B5:J495,9,FALSE),"")</f>
        <v>7.35</v>
      </c>
      <c r="G28" s="36">
        <v>0.04</v>
      </c>
      <c r="H28" s="34">
        <f>+G28*F28</f>
        <v>0.29399999999999998</v>
      </c>
      <c r="I28" s="33" t="s">
        <v>868</v>
      </c>
      <c r="J28" s="32">
        <f>IFERROR(VLOOKUP(I28,'TARIFS 12 2025'!B5:J493,9,FALSE),"")</f>
        <v>3.88</v>
      </c>
      <c r="K28" s="36">
        <v>0.09</v>
      </c>
      <c r="L28" s="34">
        <f t="shared" si="4"/>
        <v>0.34919999999999995</v>
      </c>
      <c r="M28" s="33" t="s">
        <v>23</v>
      </c>
      <c r="N28" s="32">
        <f>IFERROR(VLOOKUP(M28,'TARIFS 12 2025'!B5:J503,9,FALSE),"")</f>
        <v>7.3</v>
      </c>
      <c r="O28" s="36">
        <v>0.12</v>
      </c>
      <c r="P28" s="34">
        <f t="shared" si="6"/>
        <v>0.876</v>
      </c>
    </row>
    <row r="29" spans="1:16" x14ac:dyDescent="0.25">
      <c r="A29" s="33" t="s">
        <v>797</v>
      </c>
      <c r="B29" s="32">
        <f>IFERROR(VLOOKUP(A29,'TARIFS 12 2025'!B6:J528,9,FALSE),"")</f>
        <v>4.95</v>
      </c>
      <c r="C29" s="36">
        <v>0.03</v>
      </c>
      <c r="D29" s="34">
        <f t="shared" si="7"/>
        <v>0.14849999999999999</v>
      </c>
      <c r="E29" s="33" t="s">
        <v>797</v>
      </c>
      <c r="F29" s="32">
        <f>IFERROR(VLOOKUP(E29,'TARIFS 12 2025'!B6:J496,9,FALSE),"")</f>
        <v>4.95</v>
      </c>
      <c r="G29" s="36">
        <v>2.5000000000000001E-2</v>
      </c>
      <c r="H29" s="34">
        <f>+G29*F29</f>
        <v>0.12375000000000001</v>
      </c>
      <c r="I29" s="33" t="s">
        <v>201</v>
      </c>
      <c r="J29" s="32">
        <f>IFERROR(VLOOKUP(I29,'TARIFS 12 2025'!B6:J494,9,FALSE),"")</f>
        <v>1.4</v>
      </c>
      <c r="K29" s="36">
        <v>0.1</v>
      </c>
      <c r="L29" s="34">
        <f t="shared" si="4"/>
        <v>0.13999999999999999</v>
      </c>
      <c r="M29" s="33" t="s">
        <v>797</v>
      </c>
      <c r="N29" s="32">
        <f>IFERROR(VLOOKUP(M29,'TARIFS 12 2025'!B6:J504,9,FALSE),"")</f>
        <v>4.95</v>
      </c>
      <c r="O29" s="36">
        <v>0.03</v>
      </c>
      <c r="P29" s="34">
        <f t="shared" si="6"/>
        <v>0.14849999999999999</v>
      </c>
    </row>
    <row r="30" spans="1:16" x14ac:dyDescent="0.25">
      <c r="A30" s="33" t="s">
        <v>291</v>
      </c>
      <c r="B30" s="32">
        <f>IFERROR(VLOOKUP(A30,'TARIFS 12 2025'!B7:J529,9,FALSE),"")</f>
        <v>7.4</v>
      </c>
      <c r="C30" s="36">
        <v>7.0000000000000007E-2</v>
      </c>
      <c r="D30" s="34">
        <f t="shared" si="7"/>
        <v>0.51800000000000013</v>
      </c>
      <c r="E30" s="33" t="s">
        <v>212</v>
      </c>
      <c r="F30" s="32">
        <f>IFERROR(VLOOKUP(E30,'TARIFS 12 2025'!B7:J497,9,FALSE),"")</f>
        <v>8.24</v>
      </c>
      <c r="G30" s="36">
        <v>0.03</v>
      </c>
      <c r="H30" s="34">
        <f>+G30*F30</f>
        <v>0.2472</v>
      </c>
      <c r="I30" s="33" t="s">
        <v>866</v>
      </c>
      <c r="J30" s="32">
        <f>IFERROR(VLOOKUP(I30,'TARIFS 12 2025'!B7:J495,9,FALSE),"")</f>
        <v>7.35</v>
      </c>
      <c r="K30" s="36">
        <v>0.02</v>
      </c>
      <c r="L30" s="34">
        <f t="shared" si="4"/>
        <v>0.14699999999999999</v>
      </c>
      <c r="M30" s="33" t="s">
        <v>506</v>
      </c>
      <c r="N30" s="32">
        <f>IFERROR(VLOOKUP(M30,'TARIFS 12 2025'!B7:J505,9,FALSE),"")</f>
        <v>1.35</v>
      </c>
      <c r="O30" s="36">
        <v>0.01</v>
      </c>
      <c r="P30" s="34">
        <f t="shared" si="6"/>
        <v>1.3500000000000002E-2</v>
      </c>
    </row>
    <row r="31" spans="1:16" x14ac:dyDescent="0.25">
      <c r="A31" s="33" t="s">
        <v>57</v>
      </c>
      <c r="B31" s="32">
        <f>IFERROR(VLOOKUP(A31,'TARIFS 12 2025'!B8:J530,9,FALSE),"")</f>
        <v>10.6</v>
      </c>
      <c r="C31" s="36">
        <v>0.01</v>
      </c>
      <c r="D31" s="34">
        <f t="shared" si="7"/>
        <v>0.106</v>
      </c>
      <c r="E31" s="33" t="s">
        <v>635</v>
      </c>
      <c r="F31" s="32">
        <f>IFERROR(VLOOKUP(E31,'TARIFS 12 2025'!B8:J498,9,FALSE),"")</f>
        <v>2.2999999999999998</v>
      </c>
      <c r="G31" s="36">
        <v>0.02</v>
      </c>
      <c r="H31" s="34">
        <f>+G31*F31</f>
        <v>4.5999999999999999E-2</v>
      </c>
      <c r="I31" s="33" t="s">
        <v>797</v>
      </c>
      <c r="J31" s="32">
        <f>IFERROR(VLOOKUP(I31,'TARIFS 12 2025'!B8:J496,9,FALSE),"")</f>
        <v>4.95</v>
      </c>
      <c r="K31" s="36">
        <v>0.03</v>
      </c>
      <c r="L31" s="34">
        <f t="shared" si="4"/>
        <v>0.14849999999999999</v>
      </c>
      <c r="M31" s="33" t="s">
        <v>870</v>
      </c>
      <c r="N31" s="32">
        <f>IFERROR(VLOOKUP(M31,'TARIFS 12 2025'!B8:J506,9,FALSE),"")</f>
        <v>2.25</v>
      </c>
      <c r="O31" s="36">
        <v>0.1</v>
      </c>
      <c r="P31" s="34">
        <f t="shared" si="6"/>
        <v>0.22500000000000001</v>
      </c>
    </row>
    <row r="32" spans="1:16" x14ac:dyDescent="0.25">
      <c r="A32" s="33" t="s">
        <v>147</v>
      </c>
      <c r="B32" s="32">
        <f>IFERROR(VLOOKUP(A32,'TARIFS 12 2025'!B9:J531,9,FALSE),"")</f>
        <v>8.9600000000000009</v>
      </c>
      <c r="C32" s="36">
        <v>1.2E-2</v>
      </c>
      <c r="D32" s="34">
        <f>+C32*B32</f>
        <v>0.10752000000000002</v>
      </c>
      <c r="E32" s="33" t="s">
        <v>880</v>
      </c>
      <c r="F32" s="32">
        <f>IFERROR(VLOOKUP(E32,'TARIFS 12 2025'!B9:J499,9,FALSE),"")</f>
        <v>2.25</v>
      </c>
      <c r="G32" s="36">
        <v>0.04</v>
      </c>
      <c r="H32" s="34">
        <f>+G32*F32</f>
        <v>0.09</v>
      </c>
      <c r="I32" s="33" t="s">
        <v>228</v>
      </c>
      <c r="J32" s="32">
        <f>IFERROR(VLOOKUP(I32,'TARIFS 12 2025'!B9:J497,9,FALSE),"")</f>
        <v>3.02</v>
      </c>
      <c r="K32" s="36">
        <v>4.4999999999999998E-2</v>
      </c>
      <c r="L32" s="34">
        <f t="shared" si="4"/>
        <v>0.13589999999999999</v>
      </c>
      <c r="M32" s="33"/>
      <c r="N32" s="32"/>
      <c r="O32" s="36"/>
      <c r="P32" s="34"/>
    </row>
    <row r="33" spans="1:16" x14ac:dyDescent="0.25">
      <c r="A33" s="33" t="s">
        <v>502</v>
      </c>
      <c r="B33" s="32">
        <f>IFERROR(VLOOKUP(A33,'TARIFS 12 2025'!B10:J532,9,FALSE),"")</f>
        <v>5.42</v>
      </c>
      <c r="C33" s="36">
        <v>0.01</v>
      </c>
      <c r="D33" s="34">
        <f t="shared" si="7"/>
        <v>5.4199999999999998E-2</v>
      </c>
      <c r="E33" s="33"/>
      <c r="F33" s="32" t="str">
        <f>IFERROR(VLOOKUP(E33,'TARIFS 12 2025'!B10:J500,9,FALSE),"")</f>
        <v/>
      </c>
      <c r="G33" s="36"/>
      <c r="H33" s="34"/>
      <c r="I33" s="33"/>
      <c r="J33" s="32" t="str">
        <f>IFERROR(VLOOKUP(I33,'TARIFS 12 2025'!B10:J498,9,FALSE),"")</f>
        <v/>
      </c>
      <c r="K33" s="36"/>
      <c r="L33" s="34"/>
      <c r="M33" s="33"/>
      <c r="N33" s="32" t="str">
        <f>IFERROR(VLOOKUP(M33,'TARIFS 12 2025'!B10:J508,9,FALSE),"")</f>
        <v/>
      </c>
      <c r="O33" s="36"/>
      <c r="P33" s="34"/>
    </row>
    <row r="34" spans="1:16" x14ac:dyDescent="0.25">
      <c r="A34" s="33" t="s">
        <v>880</v>
      </c>
      <c r="B34" s="32">
        <f>IFERROR(VLOOKUP(A34,'TARIFS 12 2025'!B11:J533,9,FALSE),"")</f>
        <v>2.25</v>
      </c>
      <c r="C34" s="36">
        <v>0.03</v>
      </c>
      <c r="D34" s="34">
        <f t="shared" si="7"/>
        <v>6.7500000000000004E-2</v>
      </c>
      <c r="E34" s="33"/>
      <c r="F34" s="32" t="str">
        <f>IFERROR(VLOOKUP(E34,'TARIFS 12 2025'!B11:J501,9,FALSE),"")</f>
        <v/>
      </c>
      <c r="G34" s="36"/>
      <c r="H34" s="34"/>
      <c r="I34" s="33"/>
      <c r="J34" s="32" t="str">
        <f>IFERROR(VLOOKUP(I34,'TARIFS 12 2025'!B11:J499,9,FALSE),"")</f>
        <v/>
      </c>
      <c r="K34" s="36"/>
      <c r="L34" s="34"/>
      <c r="M34" s="33"/>
      <c r="N34" s="32" t="str">
        <f>IFERROR(VLOOKUP(M34,'TARIFS 12 2025'!B11:J509,9,FALSE),"")</f>
        <v/>
      </c>
      <c r="O34" s="36"/>
      <c r="P34" s="34"/>
    </row>
    <row r="35" spans="1:16" x14ac:dyDescent="0.25">
      <c r="A35" s="33"/>
      <c r="B35" s="32" t="str">
        <f>IFERROR(VLOOKUP(A35,'TARIFS 12 2025'!B12:J534,9,FALSE),"")</f>
        <v/>
      </c>
      <c r="C35" s="36"/>
      <c r="D35" s="34"/>
      <c r="E35" s="33"/>
      <c r="F35" s="32"/>
      <c r="G35" s="36"/>
      <c r="H35" s="34"/>
      <c r="I35" s="33"/>
      <c r="J35" s="32" t="str">
        <f>IFERROR(VLOOKUP(I35,'TARIFS 12 2025'!B12:J500,9,FALSE),"")</f>
        <v/>
      </c>
      <c r="K35" s="36"/>
      <c r="L35" s="34"/>
      <c r="M35" s="33"/>
      <c r="N35" s="32"/>
      <c r="O35" s="36"/>
      <c r="P35" s="34"/>
    </row>
    <row r="36" spans="1:16" x14ac:dyDescent="0.25">
      <c r="A36" s="33"/>
      <c r="B36" s="32" t="str">
        <f>IFERROR(VLOOKUP(A36,'TARIFS 12 2025'!B13:J535,9,FALSE),"")</f>
        <v/>
      </c>
      <c r="C36" s="36"/>
      <c r="D36" s="34"/>
      <c r="E36" s="33"/>
      <c r="F36" s="32" t="str">
        <f>IFERROR(VLOOKUP(E36,'TARIFS 12 2025'!B13:J503,9,FALSE),"")</f>
        <v/>
      </c>
      <c r="G36" s="36"/>
      <c r="H36" s="34"/>
      <c r="I36" s="33"/>
      <c r="J36" s="32" t="str">
        <f>IFERROR(VLOOKUP(I36,'TARIFS 12 2025'!F13:N503,9,FALSE),"")</f>
        <v/>
      </c>
      <c r="K36" s="36"/>
      <c r="L36" s="34"/>
      <c r="M36" s="33"/>
      <c r="N36" s="32" t="str">
        <f>IFERROR(VLOOKUP(M36,'TARIFS 12 2025'!J13:R503,9,FALSE),"")</f>
        <v/>
      </c>
      <c r="O36" s="36"/>
      <c r="P36" s="34"/>
    </row>
    <row r="37" spans="1:16" x14ac:dyDescent="0.25">
      <c r="A37" s="33"/>
      <c r="B37" s="32"/>
      <c r="C37" s="36"/>
      <c r="D37" s="34"/>
      <c r="E37" s="33"/>
      <c r="F37" s="32" t="str">
        <f>IFERROR(VLOOKUP(E37,'TARIFS 12 2025'!B14:J504,9,FALSE),"")</f>
        <v/>
      </c>
      <c r="G37" s="36"/>
      <c r="H37" s="34"/>
      <c r="I37" s="33"/>
      <c r="J37" s="32" t="str">
        <f>IFERROR(VLOOKUP(I37,'TARIFS 12 2025'!F14:N504,9,FALSE),"")</f>
        <v/>
      </c>
      <c r="K37" s="36"/>
      <c r="L37" s="34"/>
      <c r="M37" s="33"/>
      <c r="N37" s="32" t="str">
        <f>IFERROR(VLOOKUP(M37,'TARIFS 12 2025'!J14:R504,9,FALSE),"")</f>
        <v/>
      </c>
      <c r="O37" s="36"/>
      <c r="P37" s="34"/>
    </row>
    <row r="38" spans="1:16" x14ac:dyDescent="0.25">
      <c r="A38" s="24"/>
      <c r="D38" s="25"/>
      <c r="E38" s="24"/>
      <c r="H38" s="25"/>
      <c r="I38" s="24"/>
      <c r="L38" s="25"/>
      <c r="M38" s="24"/>
      <c r="P38" s="25"/>
    </row>
    <row r="39" spans="1:16" x14ac:dyDescent="0.25">
      <c r="A39" s="24"/>
      <c r="C39" t="s">
        <v>939</v>
      </c>
      <c r="D39" s="26">
        <f>+SUM(D26:D37)</f>
        <v>1.2887811111111116</v>
      </c>
      <c r="E39" s="24"/>
      <c r="G39" t="s">
        <v>939</v>
      </c>
      <c r="H39" s="26">
        <f>+SUM(H26:H37)</f>
        <v>1.2009500000000002</v>
      </c>
      <c r="I39" s="24"/>
      <c r="K39" t="s">
        <v>939</v>
      </c>
      <c r="L39" s="26">
        <f>+SUM(L26:L37)</f>
        <v>1.3206</v>
      </c>
      <c r="M39" s="24"/>
      <c r="O39" t="s">
        <v>939</v>
      </c>
      <c r="P39" s="26">
        <f>+SUM(P26:P37)</f>
        <v>1.4448600000000003</v>
      </c>
    </row>
    <row r="40" spans="1:16" x14ac:dyDescent="0.25">
      <c r="A40" s="24"/>
      <c r="C40" t="s">
        <v>939</v>
      </c>
      <c r="D40" s="27">
        <f>+D39</f>
        <v>1.2887811111111116</v>
      </c>
      <c r="E40" s="24"/>
      <c r="G40" t="s">
        <v>939</v>
      </c>
      <c r="H40" s="27">
        <f>+H39</f>
        <v>1.2009500000000002</v>
      </c>
      <c r="I40" s="24"/>
      <c r="K40" t="s">
        <v>939</v>
      </c>
      <c r="L40" s="27">
        <f>+L39</f>
        <v>1.3206</v>
      </c>
      <c r="M40" s="24"/>
      <c r="O40" t="s">
        <v>939</v>
      </c>
      <c r="P40" s="27">
        <f>+P39</f>
        <v>1.4448600000000003</v>
      </c>
    </row>
    <row r="41" spans="1:16" x14ac:dyDescent="0.25">
      <c r="A41" s="24" t="s">
        <v>1009</v>
      </c>
      <c r="B41">
        <v>5.5</v>
      </c>
      <c r="D41" s="25"/>
      <c r="E41" s="24" t="s">
        <v>1009</v>
      </c>
      <c r="F41">
        <v>5.3</v>
      </c>
      <c r="H41" s="25"/>
      <c r="I41" s="24" t="s">
        <v>1009</v>
      </c>
      <c r="J41">
        <v>5.5</v>
      </c>
      <c r="L41" s="25"/>
      <c r="M41" s="24"/>
      <c r="N41">
        <v>6.2</v>
      </c>
      <c r="P41" s="25"/>
    </row>
    <row r="42" spans="1:16" x14ac:dyDescent="0.25">
      <c r="A42" s="93" t="s">
        <v>1010</v>
      </c>
      <c r="B42" s="1">
        <v>5.9</v>
      </c>
      <c r="C42" t="s">
        <v>941</v>
      </c>
      <c r="D42" s="27">
        <f>+B42*0.945</f>
        <v>5.5754999999999999</v>
      </c>
      <c r="E42" s="93" t="s">
        <v>1010</v>
      </c>
      <c r="F42" s="1">
        <v>5.75</v>
      </c>
      <c r="G42" t="s">
        <v>941</v>
      </c>
      <c r="H42" s="27">
        <f>+F42*0.945</f>
        <v>5.4337499999999999</v>
      </c>
      <c r="I42" s="93" t="s">
        <v>1010</v>
      </c>
      <c r="J42" s="1">
        <v>5.9</v>
      </c>
      <c r="K42" t="s">
        <v>941</v>
      </c>
      <c r="L42" s="27">
        <f>+J42*0.945</f>
        <v>5.5754999999999999</v>
      </c>
      <c r="M42" s="93" t="s">
        <v>1010</v>
      </c>
      <c r="N42" s="1">
        <v>6.9</v>
      </c>
      <c r="O42" t="s">
        <v>941</v>
      </c>
      <c r="P42" s="27">
        <f>+N42*0.945</f>
        <v>6.5205000000000002</v>
      </c>
    </row>
    <row r="43" spans="1:16" ht="15.75" x14ac:dyDescent="0.25">
      <c r="A43" s="24"/>
      <c r="C43" t="s">
        <v>942</v>
      </c>
      <c r="D43" s="31">
        <f>+D42/D40</f>
        <v>4.3261807237329313</v>
      </c>
      <c r="E43" s="24"/>
      <c r="G43" t="s">
        <v>942</v>
      </c>
      <c r="H43" s="31">
        <f>+H42/H40</f>
        <v>4.5245430700695275</v>
      </c>
      <c r="I43" s="24"/>
      <c r="K43" t="s">
        <v>942</v>
      </c>
      <c r="L43" s="31">
        <f>+L42/L40</f>
        <v>4.221944570649705</v>
      </c>
      <c r="M43" s="24"/>
      <c r="O43" t="s">
        <v>942</v>
      </c>
      <c r="P43" s="31">
        <f>+P42/P40</f>
        <v>4.5128939828080226</v>
      </c>
    </row>
    <row r="44" spans="1:16" x14ac:dyDescent="0.25">
      <c r="A44" s="28"/>
      <c r="B44" s="29"/>
      <c r="C44" s="29" t="s">
        <v>0</v>
      </c>
      <c r="D44" s="94">
        <f>(D42-D40)/D42</f>
        <v>0.76884923125977733</v>
      </c>
      <c r="E44" s="28"/>
      <c r="F44" s="29"/>
      <c r="G44" s="29" t="s">
        <v>0</v>
      </c>
      <c r="H44" s="94">
        <f>(H42-H40)/H42</f>
        <v>0.77898320680929367</v>
      </c>
      <c r="I44" s="28"/>
      <c r="J44" s="29"/>
      <c r="K44" s="29" t="s">
        <v>0</v>
      </c>
      <c r="L44" s="94">
        <f>(L42-L40)/L42</f>
        <v>0.76314231907452246</v>
      </c>
      <c r="M44" s="28"/>
      <c r="N44" s="29"/>
      <c r="O44" s="29" t="s">
        <v>0</v>
      </c>
      <c r="P44" s="94">
        <f>(P42-P40)/P42</f>
        <v>0.77841269841269833</v>
      </c>
    </row>
    <row r="45" spans="1:16" ht="18.75" x14ac:dyDescent="0.25">
      <c r="A45" s="174" t="s">
        <v>1011</v>
      </c>
      <c r="B45" s="175"/>
      <c r="C45" s="175"/>
      <c r="D45" s="176"/>
      <c r="E45" s="174" t="s">
        <v>1012</v>
      </c>
      <c r="F45" s="175"/>
      <c r="G45" s="175"/>
      <c r="H45" s="176"/>
      <c r="I45" s="174" t="s">
        <v>1013</v>
      </c>
      <c r="J45" s="175"/>
      <c r="K45" s="175"/>
      <c r="L45" s="176"/>
      <c r="M45" s="174" t="s">
        <v>1014</v>
      </c>
      <c r="N45" s="175"/>
      <c r="O45" s="175"/>
      <c r="P45" s="176"/>
    </row>
    <row r="46" spans="1:16" x14ac:dyDescent="0.25">
      <c r="A46" s="37"/>
      <c r="B46" s="6" t="s">
        <v>933</v>
      </c>
      <c r="C46" s="6" t="s">
        <v>934</v>
      </c>
      <c r="D46" s="38"/>
      <c r="E46" s="37"/>
      <c r="F46" s="6" t="s">
        <v>933</v>
      </c>
      <c r="G46" s="6" t="s">
        <v>934</v>
      </c>
      <c r="H46" s="38"/>
      <c r="I46" s="37"/>
      <c r="J46" s="6" t="s">
        <v>933</v>
      </c>
      <c r="K46" s="6" t="s">
        <v>934</v>
      </c>
      <c r="L46" s="38"/>
      <c r="M46" s="37"/>
      <c r="N46" s="6" t="s">
        <v>933</v>
      </c>
      <c r="O46" s="6" t="s">
        <v>934</v>
      </c>
      <c r="P46" s="38"/>
    </row>
    <row r="47" spans="1:16" x14ac:dyDescent="0.25">
      <c r="A47" s="33" t="s">
        <v>663</v>
      </c>
      <c r="B47" s="32">
        <f>IFERROR(VLOOKUP(A47,'TARIFS 12 2025'!B24:J546,9,FALSE),"")</f>
        <v>5.8230000000000004</v>
      </c>
      <c r="C47" s="36">
        <v>0.02</v>
      </c>
      <c r="D47" s="34">
        <f>+C47*B47</f>
        <v>0.11646000000000001</v>
      </c>
      <c r="E47" s="33" t="s">
        <v>663</v>
      </c>
      <c r="F47" s="32">
        <f>IFERROR(VLOOKUP(E47,'TARIFS 12 2025'!B24:J514,9,FALSE),"")</f>
        <v>5.8230000000000004</v>
      </c>
      <c r="G47" s="36">
        <v>0.02</v>
      </c>
      <c r="H47" s="34">
        <f>+G47*F47</f>
        <v>0.11646000000000001</v>
      </c>
      <c r="I47" s="33" t="s">
        <v>663</v>
      </c>
      <c r="J47" s="32">
        <f>IFERROR(VLOOKUP(I47,'TARIFS 12 2025'!B24:J512,9,FALSE),"")</f>
        <v>5.8230000000000004</v>
      </c>
      <c r="K47" s="36">
        <v>0.02</v>
      </c>
      <c r="L47" s="34">
        <f>+K47*J47</f>
        <v>0.11646000000000001</v>
      </c>
      <c r="M47" s="33" t="s">
        <v>663</v>
      </c>
      <c r="N47" s="32">
        <f>IFERROR(VLOOKUP(M47,'TARIFS 12 2025'!B24:J522,9,FALSE),"")</f>
        <v>5.8230000000000004</v>
      </c>
      <c r="O47" s="36">
        <v>0.02</v>
      </c>
      <c r="P47" s="34">
        <f>+O47*N47</f>
        <v>0.11646000000000001</v>
      </c>
    </row>
    <row r="48" spans="1:16" x14ac:dyDescent="0.25">
      <c r="A48" s="33" t="s">
        <v>230</v>
      </c>
      <c r="B48" s="32">
        <f>IFERROR(VLOOKUP(A48,'TARIFS 12 2025'!B25:J547,9,FALSE),"")</f>
        <v>3.27</v>
      </c>
      <c r="C48" s="36">
        <v>0.02</v>
      </c>
      <c r="D48" s="34">
        <f t="shared" ref="D48:D54" si="8">+C48*B48</f>
        <v>6.54E-2</v>
      </c>
      <c r="E48" s="33" t="s">
        <v>230</v>
      </c>
      <c r="F48" s="32">
        <f>IFERROR(VLOOKUP(E48,'TARIFS 12 2025'!B25:J515,9,FALSE),"")</f>
        <v>3.27</v>
      </c>
      <c r="G48" s="36">
        <v>0.02</v>
      </c>
      <c r="H48" s="34">
        <f t="shared" ref="H48" si="9">+G48*F48</f>
        <v>6.54E-2</v>
      </c>
      <c r="I48" s="33" t="s">
        <v>230</v>
      </c>
      <c r="J48" s="32">
        <f>IFERROR(VLOOKUP(I48,'TARIFS 12 2025'!B25:J513,9,FALSE),"")</f>
        <v>3.27</v>
      </c>
      <c r="K48" s="36">
        <v>0.02</v>
      </c>
      <c r="L48" s="34">
        <f t="shared" ref="L48:L52" si="10">+K48*J48</f>
        <v>6.54E-2</v>
      </c>
      <c r="M48" s="33" t="s">
        <v>230</v>
      </c>
      <c r="N48" s="32">
        <f>IFERROR(VLOOKUP(M48,'TARIFS 12 2025'!B25:J523,9,FALSE),"")</f>
        <v>3.27</v>
      </c>
      <c r="O48" s="36">
        <v>0.02</v>
      </c>
      <c r="P48" s="34">
        <f t="shared" ref="P48:P53" si="11">+O48*N48</f>
        <v>6.54E-2</v>
      </c>
    </row>
    <row r="49" spans="1:16" x14ac:dyDescent="0.25">
      <c r="A49" s="33" t="s">
        <v>738</v>
      </c>
      <c r="B49" s="32">
        <f>IFERROR(VLOOKUP(A49,'TARIFS 12 2025'!B26:J548,9,FALSE),"")/5</f>
        <v>0.29199999999999998</v>
      </c>
      <c r="C49" s="36">
        <v>0.09</v>
      </c>
      <c r="D49" s="34">
        <f t="shared" si="8"/>
        <v>2.6279999999999998E-2</v>
      </c>
      <c r="E49" s="33" t="s">
        <v>797</v>
      </c>
      <c r="F49" s="32">
        <f>IFERROR(VLOOKUP(E49,'TARIFS 12 2025'!B26:J516,9,FALSE),"")</f>
        <v>4.95</v>
      </c>
      <c r="G49" s="36">
        <v>7.0000000000000007E-2</v>
      </c>
      <c r="H49" s="34">
        <f t="shared" ref="H49:H52" si="12">+G49*F49</f>
        <v>0.34650000000000003</v>
      </c>
      <c r="I49" s="33" t="s">
        <v>410</v>
      </c>
      <c r="J49" s="32">
        <f>IFERROR(VLOOKUP(I49,'TARIFS 12 2025'!B26:J514,9,FALSE),"")</f>
        <v>4.95</v>
      </c>
      <c r="K49" s="36">
        <v>2.5000000000000001E-2</v>
      </c>
      <c r="L49" s="34">
        <f t="shared" si="10"/>
        <v>0.12375000000000001</v>
      </c>
      <c r="M49" s="33" t="s">
        <v>559</v>
      </c>
      <c r="N49" s="32">
        <f>IFERROR(VLOOKUP(M49,'TARIFS 12 2025'!B26:J524,9,FALSE),"")/5</f>
        <v>0.33999999999999997</v>
      </c>
      <c r="O49" s="36">
        <v>0.1</v>
      </c>
      <c r="P49" s="34">
        <f t="shared" si="11"/>
        <v>3.3999999999999996E-2</v>
      </c>
    </row>
    <row r="50" spans="1:16" x14ac:dyDescent="0.25">
      <c r="A50" s="33" t="s">
        <v>131</v>
      </c>
      <c r="B50" s="32">
        <f>IFERROR(VLOOKUP(A50,'TARIFS 12 2025'!B27:J549,9,FALSE),"")</f>
        <v>1.2</v>
      </c>
      <c r="C50" s="36">
        <v>0.05</v>
      </c>
      <c r="D50" s="34">
        <f t="shared" si="8"/>
        <v>0.06</v>
      </c>
      <c r="E50" s="33" t="s">
        <v>426</v>
      </c>
      <c r="F50" s="32">
        <f>IFERROR(VLOOKUP(E50,'TARIFS 12 2025'!B27:J517,9,FALSE),"")</f>
        <v>6</v>
      </c>
      <c r="G50" s="36">
        <v>0.05</v>
      </c>
      <c r="H50" s="34">
        <f t="shared" si="12"/>
        <v>0.30000000000000004</v>
      </c>
      <c r="I50" s="33" t="s">
        <v>797</v>
      </c>
      <c r="J50" s="32">
        <f>IFERROR(VLOOKUP(I50,'TARIFS 12 2025'!B27:J515,9,FALSE),"")</f>
        <v>4.95</v>
      </c>
      <c r="K50" s="36">
        <v>0.04</v>
      </c>
      <c r="L50" s="34">
        <f t="shared" si="10"/>
        <v>0.19800000000000001</v>
      </c>
      <c r="M50" s="33" t="s">
        <v>870</v>
      </c>
      <c r="N50" s="32">
        <f>IFERROR(VLOOKUP(M50,'TARIFS 12 2025'!B27:J525,9,FALSE),"")*4</f>
        <v>9</v>
      </c>
      <c r="O50" s="36">
        <v>2.5000000000000001E-2</v>
      </c>
      <c r="P50" s="34">
        <f t="shared" si="11"/>
        <v>0.22500000000000001</v>
      </c>
    </row>
    <row r="51" spans="1:16" x14ac:dyDescent="0.25">
      <c r="A51" s="33" t="s">
        <v>167</v>
      </c>
      <c r="B51" s="32">
        <f>IFERROR(VLOOKUP(A51,'TARIFS 12 2025'!B28:J550,9,FALSE),"")</f>
        <v>1.5</v>
      </c>
      <c r="C51" s="36">
        <v>0.2</v>
      </c>
      <c r="D51" s="34">
        <f t="shared" si="8"/>
        <v>0.30000000000000004</v>
      </c>
      <c r="E51" s="33" t="s">
        <v>143</v>
      </c>
      <c r="F51" s="32">
        <f>IFERROR(VLOOKUP(E51,'TARIFS 12 2025'!B28:J518,9,FALSE),"")/10</f>
        <v>0.50900000000000001</v>
      </c>
      <c r="G51" s="36">
        <v>0.02</v>
      </c>
      <c r="H51" s="34">
        <f t="shared" si="12"/>
        <v>1.018E-2</v>
      </c>
      <c r="I51" s="33" t="s">
        <v>870</v>
      </c>
      <c r="J51" s="32">
        <f>IFERROR(VLOOKUP(I51,'TARIFS 12 2025'!B28:J516,9,FALSE),"")*4</f>
        <v>9</v>
      </c>
      <c r="K51" s="36">
        <v>0.04</v>
      </c>
      <c r="L51" s="34">
        <f t="shared" si="10"/>
        <v>0.36</v>
      </c>
      <c r="M51" s="33" t="s">
        <v>868</v>
      </c>
      <c r="N51" s="32">
        <f>IFERROR(VLOOKUP(M51,'TARIFS 12 2025'!B28:J526,9,FALSE),"")</f>
        <v>3.88</v>
      </c>
      <c r="O51" s="36">
        <v>1.4999999999999999E-2</v>
      </c>
      <c r="P51" s="34">
        <f t="shared" si="11"/>
        <v>5.8199999999999995E-2</v>
      </c>
    </row>
    <row r="52" spans="1:16" x14ac:dyDescent="0.25">
      <c r="A52" s="33" t="s">
        <v>143</v>
      </c>
      <c r="B52" s="32">
        <f>IFERROR(VLOOKUP(A52,'TARIFS 12 2025'!B29:J551,9,FALSE),"")/10</f>
        <v>0.50900000000000001</v>
      </c>
      <c r="C52" s="36">
        <v>0.01</v>
      </c>
      <c r="D52" s="34">
        <f t="shared" si="8"/>
        <v>5.0899999999999999E-3</v>
      </c>
      <c r="E52" s="33" t="s">
        <v>81</v>
      </c>
      <c r="F52" s="32">
        <f>IFERROR(VLOOKUP(E52,'TARIFS 12 2025'!B29:J519,9,FALSE),"")</f>
        <v>13.65</v>
      </c>
      <c r="G52" s="36">
        <v>0.02</v>
      </c>
      <c r="H52" s="34">
        <f t="shared" si="12"/>
        <v>0.27300000000000002</v>
      </c>
      <c r="I52" s="33" t="s">
        <v>465</v>
      </c>
      <c r="J52" s="32">
        <f>IFERROR(VLOOKUP(I52,'TARIFS 12 2025'!B29:J517,9,FALSE),"")</f>
        <v>12.66</v>
      </c>
      <c r="K52" s="36">
        <v>2.5000000000000001E-2</v>
      </c>
      <c r="L52" s="34">
        <f t="shared" si="10"/>
        <v>0.3165</v>
      </c>
      <c r="M52" s="33" t="s">
        <v>443</v>
      </c>
      <c r="N52" s="32">
        <f>IFERROR(VLOOKUP(M52,'TARIFS 12 2025'!B29:J527,9,FALSE),"")</f>
        <v>2.0499999999999998</v>
      </c>
      <c r="O52" s="36">
        <v>0.05</v>
      </c>
      <c r="P52" s="34">
        <f t="shared" si="11"/>
        <v>0.10249999999999999</v>
      </c>
    </row>
    <row r="53" spans="1:16" x14ac:dyDescent="0.25">
      <c r="A53" s="33" t="s">
        <v>232</v>
      </c>
      <c r="B53" s="32">
        <f>IFERROR(VLOOKUP(A53,'TARIFS 12 2025'!B30:J552,9,FALSE),"")</f>
        <v>7.34</v>
      </c>
      <c r="C53" s="36">
        <v>0.01</v>
      </c>
      <c r="D53" s="34">
        <f t="shared" si="8"/>
        <v>7.3400000000000007E-2</v>
      </c>
      <c r="E53" s="33" t="s">
        <v>498</v>
      </c>
      <c r="F53" s="32">
        <f>IFERROR(VLOOKUP(E53,'TARIFS 12 2025'!B30:J520,9,FALSE),"")</f>
        <v>2.72</v>
      </c>
      <c r="G53" s="36">
        <v>1</v>
      </c>
      <c r="H53" s="34">
        <v>0.16</v>
      </c>
      <c r="I53" s="33" t="s">
        <v>450</v>
      </c>
      <c r="J53" s="32">
        <f>IFERROR(VLOOKUP(I53,'TARIFS 12 2025'!B31:J519,9,FALSE),"")</f>
        <v>1.55</v>
      </c>
      <c r="K53" s="36">
        <v>0.125</v>
      </c>
      <c r="L53" s="34">
        <f>+K53*J53</f>
        <v>0.19375000000000001</v>
      </c>
      <c r="M53" s="33" t="s">
        <v>508</v>
      </c>
      <c r="N53" s="32">
        <f>IFERROR(VLOOKUP(M53,'TARIFS 12 2025'!B30:J528,9,FALSE),"")</f>
        <v>2.16</v>
      </c>
      <c r="O53" s="36">
        <v>8.0000000000000002E-3</v>
      </c>
      <c r="P53" s="34">
        <f t="shared" si="11"/>
        <v>1.728E-2</v>
      </c>
    </row>
    <row r="54" spans="1:16" x14ac:dyDescent="0.25">
      <c r="A54" s="33" t="s">
        <v>201</v>
      </c>
      <c r="B54" s="32">
        <f>IFERROR(VLOOKUP(A54,'TARIFS 12 2025'!B31:J553,9,FALSE),"")</f>
        <v>1.4</v>
      </c>
      <c r="C54" s="36">
        <v>0.1</v>
      </c>
      <c r="D54" s="34">
        <f t="shared" si="8"/>
        <v>0.13999999999999999</v>
      </c>
      <c r="E54" s="33"/>
      <c r="F54" s="32" t="str">
        <f>IFERROR(VLOOKUP(E54,'TARIFS 12 2025'!#REF!,9,FALSE),"")</f>
        <v/>
      </c>
      <c r="G54" s="36"/>
      <c r="H54" s="34"/>
      <c r="M54" s="33"/>
      <c r="N54" s="32" t="str">
        <f>IFERROR(VLOOKUP(M54,'TARIFS 12 2025'!B31:J529,9,FALSE),"")</f>
        <v/>
      </c>
      <c r="O54" s="36"/>
      <c r="P54" s="34"/>
    </row>
    <row r="55" spans="1:16" x14ac:dyDescent="0.25">
      <c r="A55" s="33"/>
      <c r="B55" s="32" t="str">
        <f>IFERROR(VLOOKUP(A55,'TARIFS 12 2025'!#REF!,9,FALSE),"")</f>
        <v/>
      </c>
      <c r="C55" s="36"/>
      <c r="D55" s="34"/>
      <c r="E55" s="33"/>
      <c r="F55" s="32" t="str">
        <f>IFERROR(VLOOKUP(E55,'TARIFS 12 2025'!#REF!,9,FALSE),"")</f>
        <v/>
      </c>
      <c r="G55" s="36"/>
      <c r="H55" s="34"/>
      <c r="I55" s="33"/>
      <c r="J55" s="32" t="str">
        <f>IFERROR(VLOOKUP(I55,'TARIFS 12 2025'!#REF!,9,FALSE),"")</f>
        <v/>
      </c>
      <c r="K55" s="36"/>
      <c r="L55" s="34"/>
      <c r="M55" s="33"/>
      <c r="N55" s="32" t="str">
        <f>IFERROR(VLOOKUP(M55,'TARIFS 12 2025'!B32:J530,9,FALSE),"")</f>
        <v/>
      </c>
      <c r="O55" s="36"/>
      <c r="P55" s="34"/>
    </row>
    <row r="56" spans="1:16" x14ac:dyDescent="0.25">
      <c r="A56" s="33"/>
      <c r="B56" s="32"/>
      <c r="C56" s="36"/>
      <c r="D56" s="34"/>
      <c r="E56" s="33"/>
      <c r="F56" s="32"/>
      <c r="G56" s="36"/>
      <c r="H56" s="34"/>
      <c r="I56" s="33"/>
      <c r="J56" s="32"/>
      <c r="K56" s="36"/>
      <c r="L56" s="34"/>
      <c r="M56" s="33"/>
      <c r="N56" s="32"/>
      <c r="O56" s="36"/>
      <c r="P56" s="34"/>
    </row>
    <row r="57" spans="1:16" x14ac:dyDescent="0.25">
      <c r="A57" s="33"/>
      <c r="B57" s="32" t="str">
        <f>IFERROR(VLOOKUP(A57,'TARIFS 12 2025'!#REF!,9,FALSE),"")</f>
        <v/>
      </c>
      <c r="C57" s="36"/>
      <c r="D57" s="34"/>
      <c r="E57" s="33"/>
      <c r="F57" s="32" t="str">
        <f>IFERROR(VLOOKUP(E57,'TARIFS 12 2025'!B34:J524,9,FALSE),"")</f>
        <v/>
      </c>
      <c r="G57" s="36"/>
      <c r="H57" s="34"/>
      <c r="I57" s="33"/>
      <c r="J57" s="32" t="str">
        <f>IFERROR(VLOOKUP(I57,'TARIFS 12 2025'!F34:N524,9,FALSE),"")</f>
        <v/>
      </c>
      <c r="K57" s="36"/>
      <c r="L57" s="34"/>
      <c r="M57" s="33"/>
      <c r="N57" s="32" t="str">
        <f>IFERROR(VLOOKUP(M57,'TARIFS 12 2025'!J34:R524,9,FALSE),"")</f>
        <v/>
      </c>
      <c r="O57" s="36"/>
      <c r="P57" s="34"/>
    </row>
    <row r="58" spans="1:16" x14ac:dyDescent="0.25">
      <c r="A58" s="33"/>
      <c r="B58" s="32" t="str">
        <f>IFERROR(VLOOKUP(A58,'TARIFS 12 2025'!#REF!,9,FALSE),"")</f>
        <v/>
      </c>
      <c r="C58" s="36"/>
      <c r="D58" s="34"/>
      <c r="E58" s="33"/>
      <c r="F58" s="32" t="str">
        <f>IFERROR(VLOOKUP(E58,'TARIFS 12 2025'!B35:J525,9,FALSE),"")</f>
        <v/>
      </c>
      <c r="G58" s="36"/>
      <c r="H58" s="34"/>
      <c r="I58" s="33"/>
      <c r="J58" s="32" t="str">
        <f>IFERROR(VLOOKUP(I58,'TARIFS 12 2025'!F35:N525,9,FALSE),"")</f>
        <v/>
      </c>
      <c r="K58" s="36"/>
      <c r="L58" s="34"/>
      <c r="M58" s="33"/>
      <c r="N58" s="32" t="str">
        <f>IFERROR(VLOOKUP(M58,'TARIFS 12 2025'!J35:R525,9,FALSE),"")</f>
        <v/>
      </c>
      <c r="O58" s="36"/>
      <c r="P58" s="34"/>
    </row>
    <row r="59" spans="1:16" x14ac:dyDescent="0.25">
      <c r="A59" s="24"/>
      <c r="D59" s="25"/>
      <c r="E59" s="24"/>
      <c r="H59" s="25"/>
      <c r="I59" s="24"/>
      <c r="L59" s="25"/>
      <c r="M59" s="24"/>
      <c r="P59" s="25"/>
    </row>
    <row r="60" spans="1:16" x14ac:dyDescent="0.25">
      <c r="A60" s="24"/>
      <c r="C60" t="s">
        <v>939</v>
      </c>
      <c r="D60" s="26">
        <f>+SUM(D47:D58)</f>
        <v>0.78663000000000016</v>
      </c>
      <c r="E60" s="24"/>
      <c r="G60" t="s">
        <v>939</v>
      </c>
      <c r="H60" s="26">
        <f>+SUM(H47:H58)</f>
        <v>1.2715400000000001</v>
      </c>
      <c r="I60" s="24"/>
      <c r="K60" t="s">
        <v>939</v>
      </c>
      <c r="L60" s="26">
        <f>+SUM(L47:L58)</f>
        <v>1.3738600000000001</v>
      </c>
      <c r="M60" s="24"/>
      <c r="O60" t="s">
        <v>939</v>
      </c>
      <c r="P60" s="26">
        <f>+SUM(P47:P58)</f>
        <v>0.61883999999999995</v>
      </c>
    </row>
    <row r="61" spans="1:16" x14ac:dyDescent="0.25">
      <c r="A61" s="24"/>
      <c r="C61" t="s">
        <v>939</v>
      </c>
      <c r="D61" s="27">
        <f>+D60</f>
        <v>0.78663000000000016</v>
      </c>
      <c r="E61" s="24"/>
      <c r="G61" t="s">
        <v>939</v>
      </c>
      <c r="H61" s="27">
        <f>+H60</f>
        <v>1.2715400000000001</v>
      </c>
      <c r="I61" s="24"/>
      <c r="K61" t="s">
        <v>939</v>
      </c>
      <c r="L61" s="27">
        <f>+L60</f>
        <v>1.3738600000000001</v>
      </c>
      <c r="M61" s="24"/>
      <c r="O61" t="s">
        <v>939</v>
      </c>
      <c r="P61" s="27">
        <f>+P60</f>
        <v>0.61883999999999995</v>
      </c>
    </row>
    <row r="62" spans="1:16" x14ac:dyDescent="0.25">
      <c r="A62" s="24"/>
      <c r="B62">
        <v>6.2</v>
      </c>
      <c r="D62" s="25"/>
      <c r="E62" s="24"/>
      <c r="F62">
        <v>6.2</v>
      </c>
      <c r="H62" s="25"/>
      <c r="I62" s="24"/>
      <c r="J62">
        <v>6.2</v>
      </c>
      <c r="L62" s="25"/>
      <c r="M62" s="24"/>
      <c r="N62">
        <v>6.2</v>
      </c>
      <c r="P62" s="25"/>
    </row>
    <row r="63" spans="1:16" x14ac:dyDescent="0.25">
      <c r="A63" s="93" t="s">
        <v>1010</v>
      </c>
      <c r="B63" s="1">
        <v>6.2</v>
      </c>
      <c r="C63" t="s">
        <v>941</v>
      </c>
      <c r="D63" s="27">
        <f>+B63*0.945</f>
        <v>5.859</v>
      </c>
      <c r="E63" s="93" t="s">
        <v>1010</v>
      </c>
      <c r="F63" s="1">
        <v>6.2</v>
      </c>
      <c r="G63" t="s">
        <v>941</v>
      </c>
      <c r="H63" s="27">
        <f>+F63*0.945</f>
        <v>5.859</v>
      </c>
      <c r="I63" s="93" t="s">
        <v>1010</v>
      </c>
      <c r="J63" s="1">
        <v>6.2</v>
      </c>
      <c r="K63" t="s">
        <v>941</v>
      </c>
      <c r="L63" s="27">
        <f>+J63*0.945</f>
        <v>5.859</v>
      </c>
      <c r="M63" s="93" t="s">
        <v>1010</v>
      </c>
      <c r="N63" s="1">
        <v>6.2</v>
      </c>
      <c r="O63" t="s">
        <v>941</v>
      </c>
      <c r="P63" s="27">
        <f>+N63*0.945</f>
        <v>5.859</v>
      </c>
    </row>
    <row r="64" spans="1:16" ht="15.75" x14ac:dyDescent="0.25">
      <c r="A64" s="24"/>
      <c r="C64" t="s">
        <v>942</v>
      </c>
      <c r="D64" s="31">
        <f>+D63/D61</f>
        <v>7.4482285191258901</v>
      </c>
      <c r="E64" s="24"/>
      <c r="G64" t="s">
        <v>942</v>
      </c>
      <c r="H64" s="31">
        <f>+H63/H61</f>
        <v>4.6077984176667659</v>
      </c>
      <c r="I64" s="24"/>
      <c r="K64" t="s">
        <v>942</v>
      </c>
      <c r="L64" s="31">
        <f>+L63/L61</f>
        <v>4.2646266722955755</v>
      </c>
      <c r="M64" s="24"/>
      <c r="O64" t="s">
        <v>942</v>
      </c>
      <c r="P64" s="31">
        <f>+P63/P61</f>
        <v>9.4677137870855148</v>
      </c>
    </row>
    <row r="65" spans="1:16" x14ac:dyDescent="0.25">
      <c r="A65" s="28"/>
      <c r="B65" s="29"/>
      <c r="C65" s="29" t="s">
        <v>0</v>
      </c>
      <c r="D65" s="94">
        <f>(D63-D61)/D63</f>
        <v>0.8657398873527905</v>
      </c>
      <c r="E65" s="28"/>
      <c r="F65" s="29"/>
      <c r="G65" s="29" t="s">
        <v>0</v>
      </c>
      <c r="H65" s="94">
        <f>(H63-H61)/H63</f>
        <v>0.78297661717016553</v>
      </c>
      <c r="I65" s="28"/>
      <c r="J65" s="29"/>
      <c r="K65" s="29" t="s">
        <v>0</v>
      </c>
      <c r="L65" s="94">
        <f>(L63-L61)/L63</f>
        <v>0.76551288615804736</v>
      </c>
      <c r="M65" s="28"/>
      <c r="N65" s="29"/>
      <c r="O65" s="29" t="s">
        <v>0</v>
      </c>
      <c r="P65" s="94">
        <f>(P63-P61)/P63</f>
        <v>0.89437788018433184</v>
      </c>
    </row>
    <row r="66" spans="1:16" ht="18.75" x14ac:dyDescent="0.25">
      <c r="A66" s="174" t="s">
        <v>1015</v>
      </c>
      <c r="B66" s="175"/>
      <c r="C66" s="175"/>
      <c r="D66" s="176"/>
      <c r="E66" s="174" t="s">
        <v>1016</v>
      </c>
      <c r="F66" s="175"/>
      <c r="G66" s="175"/>
      <c r="H66" s="176"/>
      <c r="I66" s="174" t="s">
        <v>1017</v>
      </c>
      <c r="J66" s="175"/>
      <c r="K66" s="175"/>
      <c r="L66" s="176"/>
      <c r="M66" s="174" t="s">
        <v>1018</v>
      </c>
      <c r="N66" s="175"/>
      <c r="O66" s="175"/>
      <c r="P66" s="176"/>
    </row>
    <row r="67" spans="1:16" x14ac:dyDescent="0.25">
      <c r="A67" s="37"/>
      <c r="B67" s="6" t="s">
        <v>933</v>
      </c>
      <c r="C67" s="6" t="s">
        <v>934</v>
      </c>
      <c r="D67" s="38"/>
      <c r="E67" s="37"/>
      <c r="F67" s="6" t="s">
        <v>933</v>
      </c>
      <c r="G67" s="6" t="s">
        <v>934</v>
      </c>
      <c r="H67" s="38"/>
      <c r="I67" s="37"/>
      <c r="J67" s="6" t="s">
        <v>933</v>
      </c>
      <c r="K67" s="6" t="s">
        <v>934</v>
      </c>
      <c r="L67" s="38"/>
      <c r="M67" s="37"/>
      <c r="N67" s="6" t="s">
        <v>933</v>
      </c>
      <c r="O67" s="6" t="s">
        <v>934</v>
      </c>
      <c r="P67" s="38"/>
    </row>
    <row r="68" spans="1:16" x14ac:dyDescent="0.25">
      <c r="A68" s="33" t="s">
        <v>885</v>
      </c>
      <c r="B68" s="32">
        <f>IFERROR(VLOOKUP(A68,'TARIFS 12 2025'!B46:J567,9,FALSE),"")</f>
        <v>3.83</v>
      </c>
      <c r="C68" s="36">
        <f>1/15</f>
        <v>6.6666666666666666E-2</v>
      </c>
      <c r="D68" s="34">
        <f>+C68*B68</f>
        <v>0.25533333333333336</v>
      </c>
      <c r="E68" s="33" t="s">
        <v>523</v>
      </c>
      <c r="F68" s="32">
        <f>IFERROR(VLOOKUP(E68,'TARIFS 12 2025'!B46:J535,9,FALSE),"")</f>
        <v>0.11812625000000002</v>
      </c>
      <c r="G68" s="36">
        <v>1</v>
      </c>
      <c r="H68" s="34">
        <f>+G68*F68</f>
        <v>0.11812625000000002</v>
      </c>
      <c r="I68" s="33" t="s">
        <v>523</v>
      </c>
      <c r="J68" s="32">
        <f>IFERROR(VLOOKUP(I68,'TARIFS 12 2025'!B49:J534,9,FALSE),"")</f>
        <v>0.11812625000000002</v>
      </c>
      <c r="K68" s="36">
        <v>1</v>
      </c>
      <c r="L68" s="34">
        <f t="shared" ref="L68" si="13">+K68*J68</f>
        <v>0.11812625000000002</v>
      </c>
      <c r="M68" s="33" t="s">
        <v>885</v>
      </c>
      <c r="N68" s="32">
        <f>IFERROR(VLOOKUP(M68,'TARIFS 12 2025'!B46:J543,9,FALSE),"")</f>
        <v>3.83</v>
      </c>
      <c r="O68" s="36">
        <f>1/15</f>
        <v>6.6666666666666666E-2</v>
      </c>
      <c r="P68" s="34">
        <f>+O68*N68</f>
        <v>0.25533333333333336</v>
      </c>
    </row>
    <row r="69" spans="1:16" x14ac:dyDescent="0.25">
      <c r="A69" s="33" t="s">
        <v>124</v>
      </c>
      <c r="B69" s="32">
        <f>IFERROR(VLOOKUP(A69,'TARIFS 12 2025'!B49:J568,9,FALSE),"")</f>
        <v>1.73</v>
      </c>
      <c r="C69" s="36">
        <f>1/5</f>
        <v>0.2</v>
      </c>
      <c r="D69" s="34">
        <f t="shared" ref="D69:D70" si="14">+C69*B69</f>
        <v>0.34600000000000003</v>
      </c>
      <c r="E69" s="33" t="s">
        <v>845</v>
      </c>
      <c r="F69" s="32">
        <f>IFERROR(VLOOKUP(E69,'TARIFS 12 2025'!B49:J536,9,FALSE),"")</f>
        <v>10.58</v>
      </c>
      <c r="G69" s="36">
        <v>0.1</v>
      </c>
      <c r="H69" s="34">
        <f t="shared" ref="H69:H73" si="15">+G69*F69</f>
        <v>1.0580000000000001</v>
      </c>
      <c r="I69" s="33" t="s">
        <v>23</v>
      </c>
      <c r="J69" s="32">
        <v>7.53</v>
      </c>
      <c r="K69" s="36">
        <v>0.12</v>
      </c>
      <c r="L69" s="34">
        <f t="shared" ref="L69:L72" si="16">+K69*J69</f>
        <v>0.90359999999999996</v>
      </c>
      <c r="M69" s="33" t="s">
        <v>23</v>
      </c>
      <c r="N69" s="32">
        <v>7.53</v>
      </c>
      <c r="O69" s="36">
        <v>0.12</v>
      </c>
      <c r="P69" s="34">
        <f t="shared" ref="P69:P73" si="17">+O69*N69</f>
        <v>0.90359999999999996</v>
      </c>
    </row>
    <row r="70" spans="1:16" x14ac:dyDescent="0.25">
      <c r="A70" s="33" t="s">
        <v>845</v>
      </c>
      <c r="B70" s="32">
        <f>IFERROR(VLOOKUP(A70,'TARIFS 12 2025'!B50:J569,9,FALSE),"")</f>
        <v>10.58</v>
      </c>
      <c r="C70" s="36">
        <v>0.1</v>
      </c>
      <c r="D70" s="34">
        <f t="shared" si="14"/>
        <v>1.0580000000000001</v>
      </c>
      <c r="E70" s="33" t="s">
        <v>797</v>
      </c>
      <c r="F70" s="32">
        <f>IFERROR(VLOOKUP(E70,'TARIFS 12 2025'!B50:J537,9,FALSE),"")</f>
        <v>4.95</v>
      </c>
      <c r="G70" s="36">
        <v>0.02</v>
      </c>
      <c r="H70" s="34">
        <f t="shared" si="15"/>
        <v>9.9000000000000005E-2</v>
      </c>
      <c r="I70" s="33" t="s">
        <v>874</v>
      </c>
      <c r="J70" s="32">
        <f>IFERROR(VLOOKUP(I70,'TARIFS 12 2025'!B51:J536,9,FALSE),"")</f>
        <v>2.1539999999999999</v>
      </c>
      <c r="K70" s="36">
        <v>0.03</v>
      </c>
      <c r="L70" s="34">
        <f t="shared" si="16"/>
        <v>6.4619999999999997E-2</v>
      </c>
      <c r="M70" s="33" t="s">
        <v>813</v>
      </c>
      <c r="N70" s="32">
        <f>IFERROR(VLOOKUP(M70,'TARIFS 12 2025'!B50:J545,9,FALSE),"")</f>
        <v>3.03</v>
      </c>
      <c r="O70" s="36">
        <v>0.04</v>
      </c>
      <c r="P70" s="34">
        <f t="shared" si="17"/>
        <v>0.12119999999999999</v>
      </c>
    </row>
    <row r="71" spans="1:16" x14ac:dyDescent="0.25">
      <c r="A71" s="33" t="s">
        <v>504</v>
      </c>
      <c r="B71" s="32">
        <f>IFERROR(VLOOKUP(A71,'TARIFS 12 2025'!B52:J571,9,FALSE),"")</f>
        <v>0.95</v>
      </c>
      <c r="C71" s="36">
        <v>0.02</v>
      </c>
      <c r="D71" s="34">
        <f>+C71*B71</f>
        <v>1.9E-2</v>
      </c>
      <c r="E71" s="33" t="s">
        <v>57</v>
      </c>
      <c r="F71" s="32">
        <v>10.6</v>
      </c>
      <c r="G71" s="36">
        <v>0.01</v>
      </c>
      <c r="H71" s="34">
        <f t="shared" si="15"/>
        <v>0.106</v>
      </c>
      <c r="I71" s="33" t="s">
        <v>147</v>
      </c>
      <c r="J71" s="32">
        <f>IFERROR(VLOOKUP(I71,'TARIFS 12 2025'!B52:J537,9,FALSE),"")</f>
        <v>8.9600000000000009</v>
      </c>
      <c r="K71" s="36">
        <v>2.4E-2</v>
      </c>
      <c r="L71" s="34">
        <f t="shared" si="16"/>
        <v>0.21504000000000004</v>
      </c>
      <c r="M71" s="33" t="s">
        <v>147</v>
      </c>
      <c r="N71" s="32">
        <f>IFERROR(VLOOKUP(M71,'TARIFS 12 2025'!B51:J546,9,FALSE),"")</f>
        <v>8.9600000000000009</v>
      </c>
      <c r="O71" s="36">
        <v>0.05</v>
      </c>
      <c r="P71" s="34">
        <f t="shared" si="17"/>
        <v>0.44800000000000006</v>
      </c>
    </row>
    <row r="72" spans="1:16" x14ac:dyDescent="0.25">
      <c r="E72" s="33" t="s">
        <v>147</v>
      </c>
      <c r="F72" s="32">
        <f>IFERROR(VLOOKUP(E72,'TARIFS 12 2025'!B52:J539,9,FALSE),"")</f>
        <v>8.9600000000000009</v>
      </c>
      <c r="G72" s="36">
        <v>2.4E-2</v>
      </c>
      <c r="H72" s="34">
        <f t="shared" si="15"/>
        <v>0.21504000000000004</v>
      </c>
      <c r="I72" s="33" t="s">
        <v>819</v>
      </c>
      <c r="J72" s="32">
        <f>IFERROR(VLOOKUP(I72,'TARIFS 12 2025'!B53:J538,9,FALSE),"")</f>
        <v>3.94</v>
      </c>
      <c r="K72" s="36">
        <v>0.03</v>
      </c>
      <c r="L72" s="34">
        <f t="shared" si="16"/>
        <v>0.1182</v>
      </c>
      <c r="M72" s="33" t="s">
        <v>504</v>
      </c>
      <c r="N72" s="32">
        <f>IFERROR(VLOOKUP(M72,'TARIFS 12 2025'!B52:J547,9,FALSE),"")</f>
        <v>0.95</v>
      </c>
      <c r="O72" s="36">
        <v>0.01</v>
      </c>
      <c r="P72" s="34">
        <f t="shared" si="17"/>
        <v>9.4999999999999998E-3</v>
      </c>
    </row>
    <row r="73" spans="1:16" x14ac:dyDescent="0.25">
      <c r="A73" s="33"/>
      <c r="B73" s="32"/>
      <c r="C73" s="36"/>
      <c r="D73" s="34"/>
      <c r="E73" s="33" t="s">
        <v>447</v>
      </c>
      <c r="F73" s="32">
        <f>IFERROR(VLOOKUP(E73,'TARIFS 12 2025'!B53:J540,9,FALSE),"")</f>
        <v>10.8</v>
      </c>
      <c r="G73" s="36">
        <v>0.02</v>
      </c>
      <c r="H73" s="34">
        <f t="shared" si="15"/>
        <v>0.21600000000000003</v>
      </c>
      <c r="I73" s="33"/>
      <c r="J73" s="32"/>
      <c r="K73" s="36"/>
      <c r="L73" s="34"/>
      <c r="M73" s="33" t="s">
        <v>645</v>
      </c>
      <c r="N73" s="32">
        <v>1.7</v>
      </c>
      <c r="O73" s="36">
        <v>0.15</v>
      </c>
      <c r="P73" s="34">
        <f t="shared" si="17"/>
        <v>0.255</v>
      </c>
    </row>
    <row r="74" spans="1:16" x14ac:dyDescent="0.25">
      <c r="A74" s="33"/>
      <c r="B74" s="32"/>
      <c r="C74" s="36"/>
      <c r="D74" s="34"/>
      <c r="E74" s="33"/>
      <c r="F74" s="32" t="str">
        <f>IFERROR(VLOOKUP(E74,'TARIFS 12 2025'!B54:J541,9,FALSE),"")</f>
        <v/>
      </c>
      <c r="G74" s="36"/>
      <c r="H74" s="34"/>
      <c r="I74" s="33"/>
      <c r="J74" s="32"/>
      <c r="K74" s="36"/>
      <c r="L74" s="34"/>
      <c r="M74" s="33"/>
      <c r="N74" s="32" t="str">
        <f>IFERROR(VLOOKUP(M74,'TARIFS 12 2025'!B54:J549,9,FALSE),"")</f>
        <v/>
      </c>
      <c r="O74" s="36"/>
      <c r="P74" s="34"/>
    </row>
    <row r="75" spans="1:16" x14ac:dyDescent="0.25">
      <c r="A75" s="33"/>
      <c r="B75" s="32"/>
      <c r="C75" s="36"/>
      <c r="D75" s="34"/>
      <c r="E75" s="33"/>
      <c r="F75" s="32" t="str">
        <f>IFERROR(VLOOKUP(E75,'TARIFS 12 2025'!#REF!,9,FALSE),"")</f>
        <v/>
      </c>
      <c r="G75" s="36"/>
      <c r="H75" s="34"/>
      <c r="M75" s="33"/>
      <c r="N75" s="32" t="str">
        <f>IFERROR(VLOOKUP(M75,'TARIFS 12 2025'!B55:J550,9,FALSE),"")</f>
        <v/>
      </c>
      <c r="O75" s="36"/>
      <c r="P75" s="34"/>
    </row>
    <row r="76" spans="1:16" x14ac:dyDescent="0.25">
      <c r="A76" s="33"/>
      <c r="B76" s="32"/>
      <c r="C76" s="36"/>
      <c r="D76" s="34"/>
      <c r="E76" s="33"/>
      <c r="F76" s="32" t="str">
        <f>IFERROR(VLOOKUP(E76,'TARIFS 12 2025'!#REF!,9,FALSE),"")</f>
        <v/>
      </c>
      <c r="G76" s="36"/>
      <c r="H76" s="34"/>
      <c r="I76" s="33"/>
      <c r="J76" s="32" t="str">
        <f>IFERROR(VLOOKUP(I76,'TARIFS 12 2025'!#REF!,9,FALSE),"")</f>
        <v/>
      </c>
      <c r="K76" s="36"/>
      <c r="L76" s="34"/>
      <c r="M76" s="33"/>
      <c r="N76" s="32" t="str">
        <f>IFERROR(VLOOKUP(M76,'TARIFS 12 2025'!B56:J551,9,FALSE),"")</f>
        <v/>
      </c>
      <c r="O76" s="36"/>
      <c r="P76" s="34"/>
    </row>
    <row r="77" spans="1:16" x14ac:dyDescent="0.25">
      <c r="A77" s="33"/>
      <c r="B77" s="32"/>
      <c r="C77" s="36"/>
      <c r="D77" s="34"/>
      <c r="E77" s="33"/>
      <c r="F77" s="32"/>
      <c r="G77" s="36"/>
      <c r="H77" s="34"/>
      <c r="I77" s="33"/>
      <c r="J77" s="32"/>
      <c r="K77" s="36"/>
      <c r="L77" s="34"/>
      <c r="M77" s="33"/>
      <c r="N77" s="32"/>
      <c r="O77" s="36"/>
      <c r="P77" s="34"/>
    </row>
    <row r="78" spans="1:16" x14ac:dyDescent="0.25">
      <c r="A78" s="33"/>
      <c r="B78" s="32" t="str">
        <f>IFERROR(VLOOKUP(A78,'TARIFS 12 2025'!#REF!,9,FALSE),"")</f>
        <v/>
      </c>
      <c r="C78" s="36"/>
      <c r="D78" s="34"/>
      <c r="E78" s="33"/>
      <c r="F78" s="32" t="str">
        <f>IFERROR(VLOOKUP(E78,'TARIFS 12 2025'!B58:J545,9,FALSE),"")</f>
        <v/>
      </c>
      <c r="G78" s="36"/>
      <c r="H78" s="34"/>
      <c r="I78" s="33"/>
      <c r="J78" s="32" t="str">
        <f>IFERROR(VLOOKUP(I78,'TARIFS 12 2025'!F58:N545,9,FALSE),"")</f>
        <v/>
      </c>
      <c r="K78" s="36"/>
      <c r="L78" s="34"/>
      <c r="M78" s="33"/>
      <c r="N78" s="32" t="str">
        <f>IFERROR(VLOOKUP(M78,'TARIFS 12 2025'!J58:R545,9,FALSE),"")</f>
        <v/>
      </c>
      <c r="O78" s="36"/>
      <c r="P78" s="34"/>
    </row>
    <row r="79" spans="1:16" x14ac:dyDescent="0.25">
      <c r="A79" s="33"/>
      <c r="B79" s="32" t="str">
        <f>IFERROR(VLOOKUP(A79,'TARIFS 12 2025'!#REF!,9,FALSE),"")</f>
        <v/>
      </c>
      <c r="C79" s="36"/>
      <c r="D79" s="34"/>
      <c r="E79" s="33"/>
      <c r="F79" s="32" t="str">
        <f>IFERROR(VLOOKUP(E79,'TARIFS 12 2025'!B59:J546,9,FALSE),"")</f>
        <v/>
      </c>
      <c r="G79" s="36"/>
      <c r="H79" s="34"/>
      <c r="I79" s="33"/>
      <c r="J79" s="32" t="str">
        <f>IFERROR(VLOOKUP(I79,'TARIFS 12 2025'!F59:N546,9,FALSE),"")</f>
        <v/>
      </c>
      <c r="K79" s="36"/>
      <c r="L79" s="34"/>
      <c r="M79" s="33"/>
      <c r="N79" s="32" t="str">
        <f>IFERROR(VLOOKUP(M79,'TARIFS 12 2025'!J59:R546,9,FALSE),"")</f>
        <v/>
      </c>
      <c r="O79" s="36"/>
      <c r="P79" s="34"/>
    </row>
    <row r="80" spans="1:16" x14ac:dyDescent="0.25">
      <c r="A80" s="24"/>
      <c r="D80" s="25"/>
      <c r="E80" s="24"/>
      <c r="H80" s="25"/>
      <c r="I80" s="24"/>
      <c r="L80" s="25"/>
      <c r="M80" s="24"/>
      <c r="P80" s="25"/>
    </row>
    <row r="81" spans="1:16" x14ac:dyDescent="0.25">
      <c r="A81" s="24"/>
      <c r="C81" t="s">
        <v>939</v>
      </c>
      <c r="D81" s="26">
        <f>+SUM(D68:D79)</f>
        <v>1.6783333333333335</v>
      </c>
      <c r="E81" s="24"/>
      <c r="G81" t="s">
        <v>939</v>
      </c>
      <c r="H81" s="26">
        <f>+SUM(H68:H79)</f>
        <v>1.8121662500000002</v>
      </c>
      <c r="I81" s="24"/>
      <c r="K81" t="s">
        <v>939</v>
      </c>
      <c r="L81" s="26">
        <f>+SUM(L68:L79)</f>
        <v>1.41958625</v>
      </c>
      <c r="M81" s="24"/>
      <c r="O81" t="s">
        <v>939</v>
      </c>
      <c r="P81" s="26">
        <f>+SUM(P68:P79)</f>
        <v>1.9926333333333335</v>
      </c>
    </row>
    <row r="82" spans="1:16" x14ac:dyDescent="0.25">
      <c r="A82" s="24"/>
      <c r="C82" t="s">
        <v>939</v>
      </c>
      <c r="D82" s="27">
        <f>+D81</f>
        <v>1.6783333333333335</v>
      </c>
      <c r="E82" s="24"/>
      <c r="G82" t="s">
        <v>939</v>
      </c>
      <c r="H82" s="27">
        <f>+H81</f>
        <v>1.8121662500000002</v>
      </c>
      <c r="I82" s="24"/>
      <c r="K82" t="s">
        <v>939</v>
      </c>
      <c r="L82" s="27">
        <f>+L81</f>
        <v>1.41958625</v>
      </c>
      <c r="M82" s="24"/>
      <c r="O82" t="s">
        <v>939</v>
      </c>
      <c r="P82" s="27">
        <f>+P81</f>
        <v>1.9926333333333335</v>
      </c>
    </row>
    <row r="83" spans="1:16" x14ac:dyDescent="0.25">
      <c r="A83" s="24"/>
      <c r="D83" s="25"/>
      <c r="E83" s="24" t="s">
        <v>1019</v>
      </c>
      <c r="F83">
        <v>9</v>
      </c>
      <c r="H83" s="25"/>
      <c r="I83" s="24"/>
      <c r="J83">
        <v>6.2</v>
      </c>
      <c r="L83" s="25"/>
      <c r="M83" s="24"/>
      <c r="P83" s="25"/>
    </row>
    <row r="84" spans="1:16" x14ac:dyDescent="0.25">
      <c r="A84" s="93" t="s">
        <v>1010</v>
      </c>
      <c r="B84" s="1">
        <v>7.9</v>
      </c>
      <c r="C84" t="s">
        <v>941</v>
      </c>
      <c r="D84" s="27">
        <f>+B84*0.945</f>
        <v>7.4654999999999996</v>
      </c>
      <c r="E84" s="93" t="s">
        <v>1010</v>
      </c>
      <c r="F84" s="1">
        <v>6.9</v>
      </c>
      <c r="G84" t="s">
        <v>941</v>
      </c>
      <c r="H84" s="27">
        <f>+F84*0.945</f>
        <v>6.5205000000000002</v>
      </c>
      <c r="I84" s="93" t="s">
        <v>1010</v>
      </c>
      <c r="J84" s="1">
        <v>6.4</v>
      </c>
      <c r="K84" t="s">
        <v>941</v>
      </c>
      <c r="L84" s="27">
        <f>+J84*0.945</f>
        <v>6.048</v>
      </c>
      <c r="M84" s="93" t="s">
        <v>1010</v>
      </c>
      <c r="N84" s="1">
        <v>8.9</v>
      </c>
      <c r="O84" t="s">
        <v>941</v>
      </c>
      <c r="P84" s="27">
        <f>+N84*0.945</f>
        <v>8.4105000000000008</v>
      </c>
    </row>
    <row r="85" spans="1:16" ht="15.75" x14ac:dyDescent="0.25">
      <c r="A85" s="24"/>
      <c r="C85" t="s">
        <v>942</v>
      </c>
      <c r="D85" s="31">
        <f>+D84/D82</f>
        <v>4.4481628599801386</v>
      </c>
      <c r="E85" s="24"/>
      <c r="G85" t="s">
        <v>942</v>
      </c>
      <c r="H85" s="31">
        <f>+H84/H82</f>
        <v>3.5981798027636809</v>
      </c>
      <c r="I85" s="24"/>
      <c r="K85" t="s">
        <v>942</v>
      </c>
      <c r="L85" s="31">
        <f>+L84/L82</f>
        <v>4.2603962950472365</v>
      </c>
      <c r="M85" s="24"/>
      <c r="O85" t="s">
        <v>942</v>
      </c>
      <c r="P85" s="31">
        <f>+P84/P82</f>
        <v>4.2207966008129949</v>
      </c>
    </row>
    <row r="86" spans="1:16" ht="15.75" thickBot="1" x14ac:dyDescent="0.3">
      <c r="A86" s="28"/>
      <c r="B86" s="29"/>
      <c r="C86" s="29" t="s">
        <v>0</v>
      </c>
      <c r="D86" s="94">
        <f>(D84-D82)/D84</f>
        <v>0.77518808742437428</v>
      </c>
      <c r="E86" s="28"/>
      <c r="F86" s="29"/>
      <c r="G86" s="29" t="s">
        <v>0</v>
      </c>
      <c r="H86" s="94">
        <f>(H84-H82)/H84</f>
        <v>0.72208170385706605</v>
      </c>
      <c r="I86" s="28"/>
      <c r="J86" s="29"/>
      <c r="K86" s="29" t="s">
        <v>0</v>
      </c>
      <c r="L86" s="94">
        <f>(L84-L82)/L84</f>
        <v>0.7652800512566138</v>
      </c>
      <c r="M86" s="28"/>
      <c r="N86" s="29"/>
      <c r="O86" s="29" t="s">
        <v>0</v>
      </c>
      <c r="P86" s="94">
        <f>(P84-P82)/P84</f>
        <v>0.7630778986584229</v>
      </c>
    </row>
    <row r="87" spans="1:16" ht="19.5" thickBot="1" x14ac:dyDescent="0.3">
      <c r="A87" s="174" t="s">
        <v>1000</v>
      </c>
      <c r="B87" s="175"/>
      <c r="C87" s="175"/>
      <c r="D87" s="176"/>
      <c r="E87" s="174" t="s">
        <v>1020</v>
      </c>
      <c r="F87" s="175"/>
      <c r="G87" s="175"/>
      <c r="H87" s="176"/>
      <c r="I87" s="174" t="s">
        <v>1021</v>
      </c>
      <c r="J87" s="175"/>
      <c r="K87" s="175"/>
      <c r="L87" s="176"/>
    </row>
    <row r="88" spans="1:16" x14ac:dyDescent="0.25">
      <c r="A88" s="37"/>
      <c r="B88" s="6" t="s">
        <v>933</v>
      </c>
      <c r="C88" s="6" t="s">
        <v>934</v>
      </c>
      <c r="D88" s="38"/>
      <c r="E88" s="37"/>
      <c r="F88" s="6" t="s">
        <v>933</v>
      </c>
      <c r="G88" s="6" t="s">
        <v>934</v>
      </c>
      <c r="H88" s="38"/>
      <c r="I88" s="37"/>
      <c r="J88" s="6" t="s">
        <v>933</v>
      </c>
      <c r="K88" s="6" t="s">
        <v>934</v>
      </c>
      <c r="L88" s="38"/>
    </row>
    <row r="89" spans="1:16" x14ac:dyDescent="0.25">
      <c r="A89" s="33" t="s">
        <v>553</v>
      </c>
      <c r="B89" s="32">
        <f>IFERROR(VLOOKUP(A89,'TARIFS 12 2025'!B90:J572,9,FALSE),"")</f>
        <v>0.11275431235431235</v>
      </c>
      <c r="C89" s="36">
        <v>0.2</v>
      </c>
      <c r="D89" s="34">
        <f>+C89*B89</f>
        <v>2.2550862470862472E-2</v>
      </c>
      <c r="E89" s="33" t="s">
        <v>553</v>
      </c>
      <c r="F89" s="32">
        <f>IFERROR(VLOOKUP(E89,'TARIFS 12 2025'!B67:J556,9,FALSE),"")</f>
        <v>0.11275431235431235</v>
      </c>
      <c r="G89" s="36">
        <v>0.2</v>
      </c>
      <c r="H89" s="34">
        <f>+G89*F89</f>
        <v>2.2550862470862472E-2</v>
      </c>
      <c r="I89" s="33"/>
      <c r="J89" s="32" t="str">
        <f>IFERROR(VLOOKUP(I89,'TARIFS 12 2025'!F67:N556,9,FALSE),"")</f>
        <v/>
      </c>
      <c r="K89" s="36"/>
      <c r="L89" s="34" t="e">
        <f>+K89*J89</f>
        <v>#VALUE!</v>
      </c>
    </row>
    <row r="90" spans="1:16" x14ac:dyDescent="0.25">
      <c r="A90" s="33" t="s">
        <v>228</v>
      </c>
      <c r="B90" s="32">
        <f>IFERROR(VLOOKUP(A90,'TARIFS 12 2025'!B91:J548,9,FALSE),"")</f>
        <v>3.02</v>
      </c>
      <c r="C90" s="36">
        <v>0.02</v>
      </c>
      <c r="D90" s="34">
        <f>+C90*B90</f>
        <v>6.0400000000000002E-2</v>
      </c>
      <c r="E90" s="33" t="s">
        <v>845</v>
      </c>
      <c r="F90" s="32">
        <f>IFERROR(VLOOKUP(E90,'TARIFS 12 2025'!B68:J557,9,FALSE),"")</f>
        <v>10.58</v>
      </c>
      <c r="G90" s="36">
        <v>0.125</v>
      </c>
      <c r="H90" s="34">
        <f>G90*F90</f>
        <v>1.3225</v>
      </c>
      <c r="I90" s="33"/>
      <c r="J90" s="32" t="str">
        <f>IFERROR(VLOOKUP(I90,'TARIFS 12 2025'!F68:N557,9,FALSE),"")</f>
        <v/>
      </c>
      <c r="K90" s="36"/>
      <c r="L90" s="34" t="e">
        <f>K90*J90</f>
        <v>#VALUE!</v>
      </c>
    </row>
    <row r="91" spans="1:16" x14ac:dyDescent="0.25">
      <c r="A91" s="33" t="s">
        <v>410</v>
      </c>
      <c r="B91" s="32">
        <v>12</v>
      </c>
      <c r="C91" s="36">
        <v>2.5000000000000001E-2</v>
      </c>
      <c r="D91" s="34">
        <f>+C91*B91</f>
        <v>0.30000000000000004</v>
      </c>
      <c r="E91" s="33" t="s">
        <v>797</v>
      </c>
      <c r="F91" s="32">
        <f>IFERROR(VLOOKUP(E91,'TARIFS 12 2025'!B71:J558,9,FALSE),"")</f>
        <v>4.95</v>
      </c>
      <c r="G91" s="36">
        <v>0.02</v>
      </c>
      <c r="H91" s="34">
        <f t="shared" ref="H91:H95" si="18">+G91*F91</f>
        <v>9.9000000000000005E-2</v>
      </c>
      <c r="I91" s="33"/>
      <c r="J91" s="32" t="str">
        <f>IFERROR(VLOOKUP(I91,'TARIFS 12 2025'!F71:N558,9,FALSE),"")</f>
        <v/>
      </c>
      <c r="K91" s="36"/>
      <c r="L91" s="34" t="e">
        <f>+K91*J91</f>
        <v>#VALUE!</v>
      </c>
    </row>
    <row r="92" spans="1:16" x14ac:dyDescent="0.25">
      <c r="A92" s="33" t="s">
        <v>717</v>
      </c>
      <c r="B92" s="32">
        <v>9</v>
      </c>
      <c r="C92" s="36">
        <v>7.0000000000000007E-2</v>
      </c>
      <c r="D92" s="34">
        <f>+C92*B92</f>
        <v>0.63000000000000012</v>
      </c>
      <c r="E92" s="33" t="s">
        <v>57</v>
      </c>
      <c r="F92" s="32">
        <v>10.6</v>
      </c>
      <c r="G92" s="36">
        <v>0.01</v>
      </c>
      <c r="H92" s="34">
        <f t="shared" si="18"/>
        <v>0.106</v>
      </c>
      <c r="I92" s="33"/>
      <c r="J92" s="32">
        <v>10.6</v>
      </c>
      <c r="K92" s="36"/>
      <c r="L92" s="34">
        <f>+K92*J92</f>
        <v>0</v>
      </c>
    </row>
    <row r="93" spans="1:16" x14ac:dyDescent="0.25">
      <c r="A93" s="33" t="s">
        <v>645</v>
      </c>
      <c r="B93" s="32">
        <v>1.7</v>
      </c>
      <c r="C93" s="36">
        <v>0.06</v>
      </c>
      <c r="D93" s="34">
        <f>+C93*B93</f>
        <v>0.10199999999999999</v>
      </c>
      <c r="E93" s="33" t="s">
        <v>147</v>
      </c>
      <c r="F93" s="32">
        <f>IFERROR(VLOOKUP(E93,'TARIFS 12 2025'!B73:J560,9,FALSE),"")</f>
        <v>8.9600000000000009</v>
      </c>
      <c r="G93" s="36">
        <v>2.4E-2</v>
      </c>
      <c r="H93" s="34">
        <f t="shared" si="18"/>
        <v>0.21504000000000004</v>
      </c>
      <c r="I93" s="33"/>
      <c r="J93" s="32" t="str">
        <f>IFERROR(VLOOKUP(I93,'TARIFS 12 2025'!F73:N560,9,FALSE),"")</f>
        <v/>
      </c>
      <c r="K93" s="36"/>
      <c r="L93" s="34" t="e">
        <f>+K93*J93</f>
        <v>#VALUE!</v>
      </c>
    </row>
    <row r="94" spans="1:16" x14ac:dyDescent="0.25">
      <c r="A94" s="33"/>
      <c r="B94" s="32" t="str">
        <f>IFERROR(VLOOKUP(A94,'TARIFS 12 2025'!B95:J551,9,FALSE),"")</f>
        <v/>
      </c>
      <c r="C94" s="36"/>
      <c r="D94" s="34"/>
      <c r="E94" s="33" t="s">
        <v>447</v>
      </c>
      <c r="F94" s="32">
        <f>IFERROR(VLOOKUP(E94,'TARIFS 12 2025'!B74:J561,9,FALSE),"")</f>
        <v>10.8</v>
      </c>
      <c r="G94" s="36">
        <v>0.02</v>
      </c>
      <c r="H94" s="34">
        <f t="shared" si="18"/>
        <v>0.21600000000000003</v>
      </c>
      <c r="I94" s="33"/>
      <c r="J94" s="32" t="str">
        <f>IFERROR(VLOOKUP(I94,'TARIFS 12 2025'!F74:N561,9,FALSE),"")</f>
        <v/>
      </c>
      <c r="K94" s="36"/>
      <c r="L94" s="34" t="e">
        <f>+K94*J94</f>
        <v>#VALUE!</v>
      </c>
    </row>
    <row r="95" spans="1:16" x14ac:dyDescent="0.25">
      <c r="A95" s="33"/>
      <c r="B95" s="32" t="str">
        <f>IFERROR(VLOOKUP(A95,'TARIFS 12 2025'!B96:J552,9,FALSE),"")</f>
        <v/>
      </c>
      <c r="C95" s="36"/>
      <c r="D95" s="34"/>
      <c r="E95" s="33" t="s">
        <v>645</v>
      </c>
      <c r="F95" s="32">
        <f>IFERROR(VLOOKUP(E95,'TARIFS 12 2025'!B75:J562,9,FALSE),"")</f>
        <v>0.95</v>
      </c>
      <c r="G95" s="36">
        <v>0.2</v>
      </c>
      <c r="H95" s="34">
        <f t="shared" si="18"/>
        <v>0.19</v>
      </c>
      <c r="I95" s="33"/>
      <c r="J95" s="32" t="str">
        <f>IFERROR(VLOOKUP(I95,'TARIFS 12 2025'!F75:N562,9,FALSE),"")</f>
        <v/>
      </c>
      <c r="K95" s="36"/>
      <c r="L95" s="34" t="e">
        <f>+K95*J95</f>
        <v>#VALUE!</v>
      </c>
    </row>
    <row r="96" spans="1:16" x14ac:dyDescent="0.25">
      <c r="A96" s="33"/>
      <c r="B96" s="32" t="str">
        <f>IFERROR(VLOOKUP(A96,'TARIFS 12 2025'!B97:J553,9,FALSE),"")</f>
        <v/>
      </c>
      <c r="C96" s="36"/>
      <c r="D96" s="34"/>
      <c r="E96" s="33"/>
      <c r="F96" s="32" t="str">
        <f>IFERROR(VLOOKUP(E96,'TARIFS 12 2025'!#REF!,9,FALSE),"")</f>
        <v/>
      </c>
      <c r="G96" s="36"/>
      <c r="H96" s="34"/>
      <c r="I96" s="33"/>
      <c r="J96" s="32" t="str">
        <f>IFERROR(VLOOKUP(I96,'TARIFS 12 2025'!#REF!,9,FALSE),"")</f>
        <v/>
      </c>
      <c r="K96" s="36"/>
      <c r="L96" s="34"/>
    </row>
    <row r="97" spans="1:12" x14ac:dyDescent="0.25">
      <c r="A97" s="33"/>
      <c r="B97" s="32" t="str">
        <f>IFERROR(VLOOKUP(A97,'TARIFS 12 2025'!B98:J556,9,FALSE),"")</f>
        <v/>
      </c>
      <c r="C97" s="36"/>
      <c r="D97" s="34"/>
      <c r="E97" s="33"/>
      <c r="F97" s="32" t="str">
        <f>IFERROR(VLOOKUP(E97,'TARIFS 12 2025'!#REF!,9,FALSE),"")</f>
        <v/>
      </c>
      <c r="G97" s="36"/>
      <c r="H97" s="34"/>
      <c r="I97" s="33"/>
      <c r="J97" s="32" t="str">
        <f>IFERROR(VLOOKUP(I97,'TARIFS 12 2025'!#REF!,9,FALSE),"")</f>
        <v/>
      </c>
      <c r="K97" s="36"/>
      <c r="L97" s="34"/>
    </row>
    <row r="98" spans="1:12" x14ac:dyDescent="0.25">
      <c r="A98" s="33"/>
      <c r="B98" s="32" t="str">
        <f>IFERROR(VLOOKUP(A98,'TARIFS 12 2025'!B99:J557,9,FALSE),"")</f>
        <v/>
      </c>
      <c r="C98" s="36"/>
      <c r="D98" s="34"/>
      <c r="E98" s="33"/>
      <c r="F98" s="32"/>
      <c r="G98" s="36"/>
      <c r="H98" s="34"/>
      <c r="I98" s="33"/>
      <c r="J98" s="32"/>
      <c r="K98" s="36"/>
      <c r="L98" s="34"/>
    </row>
    <row r="99" spans="1:12" x14ac:dyDescent="0.25">
      <c r="A99" s="33"/>
      <c r="B99" s="32" t="str">
        <f>IFERROR(VLOOKUP(A99,'TARIFS 12 2025'!B100:J558,9,FALSE),"")</f>
        <v/>
      </c>
      <c r="C99" s="36"/>
      <c r="D99" s="34"/>
      <c r="E99" s="33"/>
      <c r="F99" s="32" t="str">
        <f>IFERROR(VLOOKUP(E99,'TARIFS 12 2025'!B79:J566,9,FALSE),"")</f>
        <v/>
      </c>
      <c r="G99" s="36"/>
      <c r="H99" s="34"/>
      <c r="I99" s="33"/>
      <c r="J99" s="32" t="str">
        <f>IFERROR(VLOOKUP(I99,'TARIFS 12 2025'!F79:N566,9,FALSE),"")</f>
        <v/>
      </c>
      <c r="K99" s="36"/>
      <c r="L99" s="34"/>
    </row>
    <row r="100" spans="1:12" x14ac:dyDescent="0.25">
      <c r="A100" s="33"/>
      <c r="B100" s="32"/>
      <c r="C100" s="36"/>
      <c r="D100" s="34"/>
      <c r="E100" s="33"/>
      <c r="F100" s="32" t="str">
        <f>IFERROR(VLOOKUP(E100,'TARIFS 12 2025'!B80:J567,9,FALSE),"")</f>
        <v/>
      </c>
      <c r="G100" s="36"/>
      <c r="H100" s="34"/>
      <c r="I100" s="33"/>
      <c r="J100" s="32" t="str">
        <f>IFERROR(VLOOKUP(I100,'TARIFS 12 2025'!F80:N567,9,FALSE),"")</f>
        <v/>
      </c>
      <c r="K100" s="36"/>
      <c r="L100" s="34"/>
    </row>
    <row r="101" spans="1:12" x14ac:dyDescent="0.25">
      <c r="A101" s="24"/>
      <c r="D101" s="25"/>
      <c r="E101" s="24"/>
      <c r="H101" s="25"/>
      <c r="I101" s="24"/>
      <c r="L101" s="25"/>
    </row>
    <row r="102" spans="1:12" x14ac:dyDescent="0.25">
      <c r="A102" s="24"/>
      <c r="C102" t="s">
        <v>939</v>
      </c>
      <c r="D102" s="26">
        <f>+SUM(D89:D100)</f>
        <v>1.1149508624708628</v>
      </c>
      <c r="E102" s="24"/>
      <c r="G102" t="s">
        <v>939</v>
      </c>
      <c r="H102" s="26">
        <f>+SUM(H89:H100)</f>
        <v>2.1710908624708627</v>
      </c>
      <c r="I102" s="24"/>
      <c r="K102" t="s">
        <v>939</v>
      </c>
      <c r="L102" s="26" t="e">
        <f>+SUM(L89:L100)</f>
        <v>#VALUE!</v>
      </c>
    </row>
    <row r="103" spans="1:12" x14ac:dyDescent="0.25">
      <c r="A103" s="24"/>
      <c r="C103" t="s">
        <v>939</v>
      </c>
      <c r="D103" s="27">
        <f>+D102</f>
        <v>1.1149508624708628</v>
      </c>
      <c r="E103" s="24"/>
      <c r="G103" t="s">
        <v>939</v>
      </c>
      <c r="H103" s="27">
        <f>+H102</f>
        <v>2.1710908624708627</v>
      </c>
      <c r="I103" s="24"/>
      <c r="K103" t="s">
        <v>939</v>
      </c>
      <c r="L103" s="27" t="e">
        <f>+L102</f>
        <v>#VALUE!</v>
      </c>
    </row>
    <row r="104" spans="1:12" x14ac:dyDescent="0.25">
      <c r="A104" s="24"/>
      <c r="C104" t="s">
        <v>940</v>
      </c>
      <c r="D104" s="25">
        <v>5.2</v>
      </c>
      <c r="E104" s="24" t="s">
        <v>1019</v>
      </c>
      <c r="F104">
        <v>9</v>
      </c>
      <c r="H104" s="25"/>
      <c r="I104" s="24" t="s">
        <v>1019</v>
      </c>
      <c r="J104">
        <v>9</v>
      </c>
      <c r="L104" s="25"/>
    </row>
    <row r="105" spans="1:12" x14ac:dyDescent="0.25">
      <c r="A105" s="24"/>
      <c r="C105" t="s">
        <v>941</v>
      </c>
      <c r="D105" s="27">
        <f>D104*0.925</f>
        <v>4.8100000000000005</v>
      </c>
      <c r="E105" s="93" t="s">
        <v>1010</v>
      </c>
      <c r="F105" s="1">
        <v>8.9</v>
      </c>
      <c r="G105" t="s">
        <v>941</v>
      </c>
      <c r="H105" s="27">
        <f>+F105*0.945</f>
        <v>8.4105000000000008</v>
      </c>
      <c r="I105" s="93" t="s">
        <v>1010</v>
      </c>
      <c r="J105" s="1">
        <v>8.9</v>
      </c>
      <c r="K105" t="s">
        <v>941</v>
      </c>
      <c r="L105" s="27">
        <f>+J105*0.945</f>
        <v>8.4105000000000008</v>
      </c>
    </row>
    <row r="106" spans="1:12" ht="15.75" x14ac:dyDescent="0.25">
      <c r="A106" s="24"/>
      <c r="C106" t="s">
        <v>942</v>
      </c>
      <c r="D106" s="31">
        <f>+D105/D103</f>
        <v>4.3140914652870643</v>
      </c>
      <c r="E106" s="24"/>
      <c r="G106" t="s">
        <v>942</v>
      </c>
      <c r="H106" s="31">
        <f>+H105/H103</f>
        <v>3.8738590564690725</v>
      </c>
      <c r="I106" s="24"/>
      <c r="K106" t="s">
        <v>942</v>
      </c>
      <c r="L106" s="31" t="e">
        <f>+L105/L103</f>
        <v>#VALUE!</v>
      </c>
    </row>
    <row r="107" spans="1:12" ht="15.75" thickBot="1" x14ac:dyDescent="0.3">
      <c r="A107" s="28"/>
      <c r="B107" s="29"/>
      <c r="C107" s="29" t="s">
        <v>0</v>
      </c>
      <c r="D107" s="94">
        <f>(D105-D103)/D105</f>
        <v>0.7682014838937915</v>
      </c>
      <c r="E107" s="28"/>
      <c r="F107" s="29"/>
      <c r="G107" s="29" t="s">
        <v>0</v>
      </c>
      <c r="H107" s="94">
        <f>(H105-H103)/H105</f>
        <v>0.74185947773962757</v>
      </c>
      <c r="I107" s="28"/>
      <c r="J107" s="29"/>
      <c r="K107" s="29" t="s">
        <v>0</v>
      </c>
      <c r="L107" s="94" t="e">
        <f>(L105-L103)/L105</f>
        <v>#VALUE!</v>
      </c>
    </row>
  </sheetData>
  <mergeCells count="19">
    <mergeCell ref="A45:D45"/>
    <mergeCell ref="E45:H45"/>
    <mergeCell ref="I45:L45"/>
    <mergeCell ref="M45:P45"/>
    <mergeCell ref="A87:D87"/>
    <mergeCell ref="A66:D66"/>
    <mergeCell ref="E66:H66"/>
    <mergeCell ref="I66:L66"/>
    <mergeCell ref="M66:P66"/>
    <mergeCell ref="E87:H87"/>
    <mergeCell ref="I87:L87"/>
    <mergeCell ref="A2:D2"/>
    <mergeCell ref="E2:H2"/>
    <mergeCell ref="I2:L2"/>
    <mergeCell ref="M2:P2"/>
    <mergeCell ref="A24:D24"/>
    <mergeCell ref="E24:H24"/>
    <mergeCell ref="I24:L24"/>
    <mergeCell ref="M24:P24"/>
  </mergeCells>
  <conditionalFormatting sqref="D21">
    <cfRule type="cellIs" dxfId="128" priority="50" operator="between">
      <formula>$B$1/2</formula>
      <formula>$B$1</formula>
    </cfRule>
    <cfRule type="cellIs" dxfId="127" priority="49" operator="greaterThan">
      <formula>$B$1</formula>
    </cfRule>
    <cfRule type="cellIs" dxfId="126" priority="51" operator="lessThan">
      <formula>$B$1/2</formula>
    </cfRule>
  </conditionalFormatting>
  <conditionalFormatting sqref="D43">
    <cfRule type="cellIs" dxfId="125" priority="37" operator="greaterThan">
      <formula>$B$1</formula>
    </cfRule>
    <cfRule type="cellIs" dxfId="124" priority="39" operator="lessThan">
      <formula>$B$1/2</formula>
    </cfRule>
    <cfRule type="cellIs" dxfId="123" priority="38" operator="between">
      <formula>$B$1/2</formula>
      <formula>$B$1</formula>
    </cfRule>
  </conditionalFormatting>
  <conditionalFormatting sqref="D64 H64 L64 P64">
    <cfRule type="cellIs" dxfId="122" priority="19" operator="greaterThan">
      <formula>$B$1</formula>
    </cfRule>
    <cfRule type="cellIs" dxfId="121" priority="20" operator="between">
      <formula>$B$1/2</formula>
      <formula>$B$1</formula>
    </cfRule>
    <cfRule type="cellIs" dxfId="120" priority="21" operator="lessThan">
      <formula>$B$1/2</formula>
    </cfRule>
  </conditionalFormatting>
  <conditionalFormatting sqref="D85 H85">
    <cfRule type="cellIs" dxfId="119" priority="16" operator="greaterThan">
      <formula>$B$1</formula>
    </cfRule>
    <cfRule type="cellIs" dxfId="118" priority="17" operator="between">
      <formula>$B$1/2</formula>
      <formula>$B$1</formula>
    </cfRule>
    <cfRule type="cellIs" dxfId="117" priority="18" operator="lessThan">
      <formula>$B$1/2</formula>
    </cfRule>
  </conditionalFormatting>
  <conditionalFormatting sqref="D106">
    <cfRule type="cellIs" dxfId="116" priority="7" operator="greaterThan">
      <formula>$B$1</formula>
    </cfRule>
    <cfRule type="cellIs" dxfId="115" priority="8" operator="between">
      <formula>$B$1/2</formula>
      <formula>$B$1</formula>
    </cfRule>
    <cfRule type="cellIs" dxfId="114" priority="9" operator="lessThan">
      <formula>$B$1/2</formula>
    </cfRule>
  </conditionalFormatting>
  <conditionalFormatting sqref="H21">
    <cfRule type="cellIs" dxfId="113" priority="46" operator="greaterThan">
      <formula>$B$1</formula>
    </cfRule>
    <cfRule type="cellIs" dxfId="112" priority="48" operator="lessThan">
      <formula>$B$1/2</formula>
    </cfRule>
    <cfRule type="cellIs" dxfId="111" priority="47" operator="between">
      <formula>$B$1/2</formula>
      <formula>$B$1</formula>
    </cfRule>
  </conditionalFormatting>
  <conditionalFormatting sqref="H43">
    <cfRule type="cellIs" dxfId="110" priority="36" operator="lessThan">
      <formula>$B$1/2</formula>
    </cfRule>
    <cfRule type="cellIs" dxfId="109" priority="34" operator="greaterThan">
      <formula>$B$1</formula>
    </cfRule>
    <cfRule type="cellIs" dxfId="108" priority="35" operator="between">
      <formula>$B$1/2</formula>
      <formula>$B$1</formula>
    </cfRule>
  </conditionalFormatting>
  <conditionalFormatting sqref="H106">
    <cfRule type="cellIs" dxfId="107" priority="6" operator="lessThan">
      <formula>$B$1/2</formula>
    </cfRule>
    <cfRule type="cellIs" dxfId="106" priority="4" operator="greaterThan">
      <formula>$B$1</formula>
    </cfRule>
    <cfRule type="cellIs" dxfId="105" priority="5" operator="between">
      <formula>$B$1/2</formula>
      <formula>$B$1</formula>
    </cfRule>
  </conditionalFormatting>
  <conditionalFormatting sqref="L21">
    <cfRule type="cellIs" dxfId="104" priority="43" operator="greaterThan">
      <formula>$B$1</formula>
    </cfRule>
    <cfRule type="cellIs" dxfId="103" priority="44" operator="between">
      <formula>$B$1/2</formula>
      <formula>$B$1</formula>
    </cfRule>
    <cfRule type="cellIs" dxfId="102" priority="45" operator="lessThan">
      <formula>$B$1/2</formula>
    </cfRule>
  </conditionalFormatting>
  <conditionalFormatting sqref="L43">
    <cfRule type="cellIs" dxfId="101" priority="26" operator="between">
      <formula>$B$1/2</formula>
      <formula>$B$1</formula>
    </cfRule>
    <cfRule type="cellIs" dxfId="100" priority="27" operator="lessThan">
      <formula>$B$1/2</formula>
    </cfRule>
    <cfRule type="cellIs" dxfId="99" priority="25" operator="greaterThan">
      <formula>$B$1</formula>
    </cfRule>
  </conditionalFormatting>
  <conditionalFormatting sqref="L85">
    <cfRule type="cellIs" dxfId="98" priority="15" operator="lessThan">
      <formula>$B$1/2</formula>
    </cfRule>
    <cfRule type="cellIs" dxfId="97" priority="14" operator="between">
      <formula>$B$1/2</formula>
      <formula>$B$1</formula>
    </cfRule>
    <cfRule type="cellIs" dxfId="96" priority="13" operator="greaterThan">
      <formula>$B$1</formula>
    </cfRule>
  </conditionalFormatting>
  <conditionalFormatting sqref="L106">
    <cfRule type="cellIs" dxfId="95" priority="2" operator="between">
      <formula>$B$1/2</formula>
      <formula>$B$1</formula>
    </cfRule>
    <cfRule type="cellIs" dxfId="94" priority="3" operator="lessThan">
      <formula>$B$1/2</formula>
    </cfRule>
    <cfRule type="cellIs" dxfId="93" priority="1" operator="greaterThan">
      <formula>$B$1</formula>
    </cfRule>
  </conditionalFormatting>
  <conditionalFormatting sqref="P21">
    <cfRule type="cellIs" dxfId="92" priority="40" operator="greaterThan">
      <formula>$B$1</formula>
    </cfRule>
    <cfRule type="cellIs" dxfId="91" priority="42" operator="lessThan">
      <formula>$B$1/2</formula>
    </cfRule>
    <cfRule type="cellIs" dxfId="90" priority="41" operator="between">
      <formula>$B$1/2</formula>
      <formula>$B$1</formula>
    </cfRule>
  </conditionalFormatting>
  <conditionalFormatting sqref="P43">
    <cfRule type="cellIs" dxfId="89" priority="23" operator="between">
      <formula>$B$1/2</formula>
      <formula>$B$1</formula>
    </cfRule>
    <cfRule type="cellIs" dxfId="88" priority="24" operator="lessThan">
      <formula>$B$1/2</formula>
    </cfRule>
    <cfRule type="cellIs" dxfId="87" priority="22" operator="greaterThan">
      <formula>$B$1</formula>
    </cfRule>
  </conditionalFormatting>
  <conditionalFormatting sqref="P85">
    <cfRule type="cellIs" dxfId="86" priority="12" operator="lessThan">
      <formula>$B$1/2</formula>
    </cfRule>
    <cfRule type="cellIs" dxfId="85" priority="11" operator="between">
      <formula>$B$1/2</formula>
      <formula>$B$1</formula>
    </cfRule>
    <cfRule type="cellIs" dxfId="84" priority="10" operator="greaterThan">
      <formula>$B$1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0ACD5E-D2F0-4811-B511-8EE265FE4EFF}">
          <x14:formula1>
            <xm:f>'TARIFS 12 2025'!$B:$B</xm:f>
          </x14:formula1>
          <xm:sqref>A4:A15 I68:I74 M68:M79 I76:I79 A73:A79 A68:A71 E68:E79 I26:I37 E26:E37 M26:M37 A26:A37 M4:M15 I4:I15 E4:E15 A47:A58 M47:M58 E47:E58 I47:I53 I55:I58 A89:A100 E89:E100 I89:I100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B5C8-82CA-4C23-B93D-D2BD0C7315B4}">
  <sheetPr codeName="Feuil7">
    <tabColor theme="5" tint="0.59999389629810485"/>
  </sheetPr>
  <dimension ref="A1:P66"/>
  <sheetViews>
    <sheetView topLeftCell="L1" zoomScale="90" zoomScaleNormal="90" workbookViewId="0">
      <selection activeCell="P63" sqref="P63"/>
    </sheetView>
  </sheetViews>
  <sheetFormatPr baseColWidth="10" defaultColWidth="10.7109375" defaultRowHeight="15" x14ac:dyDescent="0.25"/>
  <cols>
    <col min="1" max="1" width="33.7109375" customWidth="1"/>
    <col min="4" max="4" width="11.42578125" customWidth="1"/>
    <col min="5" max="5" width="33.7109375" customWidth="1"/>
    <col min="9" max="9" width="33.7109375" customWidth="1"/>
    <col min="13" max="13" width="33.7109375" customWidth="1"/>
  </cols>
  <sheetData>
    <row r="1" spans="1:16" ht="15.75" thickBot="1" x14ac:dyDescent="0.3">
      <c r="A1" s="39" t="s">
        <v>928</v>
      </c>
      <c r="B1" s="40">
        <v>0</v>
      </c>
    </row>
    <row r="2" spans="1:16" ht="22.5" customHeight="1" thickBot="1" x14ac:dyDescent="0.3">
      <c r="A2" s="174" t="s">
        <v>1022</v>
      </c>
      <c r="B2" s="175"/>
      <c r="C2" s="175"/>
      <c r="D2" s="176"/>
      <c r="E2" s="174" t="s">
        <v>1023</v>
      </c>
      <c r="F2" s="175"/>
      <c r="G2" s="175"/>
      <c r="H2" s="176"/>
      <c r="I2" s="174" t="s">
        <v>1024</v>
      </c>
      <c r="J2" s="175"/>
      <c r="K2" s="175"/>
      <c r="L2" s="176"/>
      <c r="M2" s="174" t="s">
        <v>1025</v>
      </c>
      <c r="N2" s="175"/>
      <c r="O2" s="175"/>
      <c r="P2" s="176"/>
    </row>
    <row r="3" spans="1:16" x14ac:dyDescent="0.25">
      <c r="A3" s="37"/>
      <c r="B3" s="6" t="s">
        <v>933</v>
      </c>
      <c r="C3" s="6" t="s">
        <v>934</v>
      </c>
      <c r="D3" s="38"/>
      <c r="E3" s="37"/>
      <c r="F3" s="6" t="s">
        <v>933</v>
      </c>
      <c r="G3" s="6" t="s">
        <v>934</v>
      </c>
      <c r="H3" s="38"/>
      <c r="I3" s="37"/>
      <c r="J3" s="6" t="s">
        <v>933</v>
      </c>
      <c r="K3" s="6" t="s">
        <v>934</v>
      </c>
      <c r="L3" s="38"/>
      <c r="M3" s="37"/>
      <c r="N3" s="6" t="s">
        <v>933</v>
      </c>
      <c r="O3" s="6" t="s">
        <v>934</v>
      </c>
      <c r="P3" s="38"/>
    </row>
    <row r="4" spans="1:16" x14ac:dyDescent="0.25">
      <c r="A4" s="33" t="s">
        <v>308</v>
      </c>
      <c r="B4" s="32">
        <f>IFERROR(VLOOKUP(A4,'TARIFS 12 2025'!B3:J461,9,FALSE),"")</f>
        <v>1.095</v>
      </c>
      <c r="C4" s="36">
        <v>1</v>
      </c>
      <c r="D4" s="34">
        <f>+C4*B4</f>
        <v>1.095</v>
      </c>
      <c r="E4" s="33" t="s">
        <v>314</v>
      </c>
      <c r="F4" s="32">
        <f>IFERROR(VLOOKUP(E4,'TARIFS 12 2025'!B3:J466,9,FALSE),"")</f>
        <v>0.70499999999999996</v>
      </c>
      <c r="G4" s="36">
        <v>6</v>
      </c>
      <c r="H4" s="34">
        <f>+G4*F4</f>
        <v>4.2299999999999995</v>
      </c>
      <c r="I4" s="33" t="s">
        <v>318</v>
      </c>
      <c r="J4" s="32">
        <f>IFERROR(VLOOKUP(I4,'TARIFS 12 2025'!B3:J502,9,FALSE),"")</f>
        <v>1.05</v>
      </c>
      <c r="K4" s="36">
        <v>2</v>
      </c>
      <c r="L4" s="34">
        <f>+K4*J4</f>
        <v>2.1</v>
      </c>
      <c r="M4" s="33" t="s">
        <v>675</v>
      </c>
      <c r="N4" s="32">
        <f>IFERROR(VLOOKUP(M4,'TARIFS 12 2025'!B3:J510,9,FALSE),"")</f>
        <v>5.16</v>
      </c>
      <c r="O4" s="36">
        <v>0.1</v>
      </c>
      <c r="P4" s="34">
        <f>+O4*N4</f>
        <v>0.51600000000000001</v>
      </c>
    </row>
    <row r="5" spans="1:16" x14ac:dyDescent="0.25">
      <c r="A5" s="33" t="s">
        <v>272</v>
      </c>
      <c r="B5" s="32">
        <f>IFERROR(VLOOKUP(A5,'TARIFS 12 2025'!B4:J461,9,FALSE),"")</f>
        <v>4.0000000000000001E-3</v>
      </c>
      <c r="C5" s="36">
        <v>1</v>
      </c>
      <c r="D5" s="34">
        <f t="shared" ref="D5:D6" si="0">+C5*B5</f>
        <v>4.0000000000000001E-3</v>
      </c>
      <c r="E5" s="33" t="s">
        <v>318</v>
      </c>
      <c r="F5" s="32">
        <f>IFERROR(VLOOKUP(E5,'TARIFS 12 2025'!B4:J469,9,FALSE),"")</f>
        <v>1.05</v>
      </c>
      <c r="G5" s="36">
        <v>6</v>
      </c>
      <c r="H5" s="34">
        <f t="shared" ref="H5:H13" si="1">+G5*F5</f>
        <v>6.3000000000000007</v>
      </c>
      <c r="I5" s="33" t="s">
        <v>272</v>
      </c>
      <c r="J5" s="32">
        <f>IFERROR(VLOOKUP(I5,'TARIFS 12 2025'!B4:J503,9,FALSE),"")</f>
        <v>4.0000000000000001E-3</v>
      </c>
      <c r="K5" s="36">
        <v>0.77</v>
      </c>
      <c r="L5" s="34">
        <f t="shared" ref="L5:L11" si="2">+K5*J5</f>
        <v>3.0800000000000003E-3</v>
      </c>
      <c r="M5" s="33" t="s">
        <v>854</v>
      </c>
      <c r="N5" s="32">
        <f>IFERROR(VLOOKUP(M5,'TARIFS 12 2025'!B4:J511,9,FALSE),"")</f>
        <v>0.86</v>
      </c>
      <c r="O5" s="36">
        <v>0.18</v>
      </c>
      <c r="P5" s="34">
        <f t="shared" ref="P5:P7" si="3">+O5*N5</f>
        <v>0.15479999999999999</v>
      </c>
    </row>
    <row r="6" spans="1:16" x14ac:dyDescent="0.25">
      <c r="A6" s="33" t="s">
        <v>318</v>
      </c>
      <c r="B6" s="32">
        <f>IFERROR(VLOOKUP(A6,'TARIFS 12 2025'!B5:J462,9,FALSE),"")</f>
        <v>1.05</v>
      </c>
      <c r="C6" s="36">
        <v>1</v>
      </c>
      <c r="D6" s="34">
        <f t="shared" si="0"/>
        <v>1.05</v>
      </c>
      <c r="E6" s="33" t="s">
        <v>854</v>
      </c>
      <c r="F6" s="32">
        <f>IFERROR(VLOOKUP(E6,'TARIFS 12 2025'!B5:J470,9,FALSE),"")</f>
        <v>0.86</v>
      </c>
      <c r="G6" s="36">
        <v>0.72</v>
      </c>
      <c r="H6" s="34">
        <f t="shared" si="1"/>
        <v>0.61919999999999997</v>
      </c>
      <c r="I6" s="33" t="s">
        <v>831</v>
      </c>
      <c r="J6" s="32">
        <f>IFERROR(VLOOKUP(I6,'TARIFS 12 2025'!B5:J504,9,FALSE),"")</f>
        <v>0.27</v>
      </c>
      <c r="K6" s="36">
        <v>0.04</v>
      </c>
      <c r="L6" s="34">
        <f t="shared" si="2"/>
        <v>1.0800000000000001E-2</v>
      </c>
      <c r="M6" s="33" t="s">
        <v>671</v>
      </c>
      <c r="N6" s="32">
        <f>IFERROR(VLOOKUP(M6,'TARIFS 12 2025'!B5:J512,9,FALSE),"")</f>
        <v>3.09</v>
      </c>
      <c r="O6" s="36">
        <v>0.08</v>
      </c>
      <c r="P6" s="34">
        <f t="shared" si="3"/>
        <v>0.2472</v>
      </c>
    </row>
    <row r="7" spans="1:16" x14ac:dyDescent="0.25">
      <c r="A7" s="33"/>
      <c r="B7" s="32"/>
      <c r="C7" s="36"/>
      <c r="D7" s="34"/>
      <c r="E7" s="33" t="s">
        <v>831</v>
      </c>
      <c r="F7" s="32">
        <f>IFERROR(VLOOKUP(E7,'TARIFS 12 2025'!B6:J471,9,FALSE),"")</f>
        <v>0.27</v>
      </c>
      <c r="G7" s="36">
        <v>0.24</v>
      </c>
      <c r="H7" s="34">
        <f t="shared" si="1"/>
        <v>6.4799999999999996E-2</v>
      </c>
      <c r="I7" s="33" t="s">
        <v>854</v>
      </c>
      <c r="J7" s="32">
        <f>IFERROR(VLOOKUP(I7,'TARIFS 12 2025'!B6:J505,9,FALSE),"")</f>
        <v>0.86</v>
      </c>
      <c r="K7" s="36">
        <v>0.28599999999999998</v>
      </c>
      <c r="L7" s="34">
        <f t="shared" si="2"/>
        <v>0.24595999999999998</v>
      </c>
      <c r="M7" s="33" t="s">
        <v>498</v>
      </c>
      <c r="N7" s="32">
        <f>IFERROR(VLOOKUP(M7,'TARIFS 12 2025'!B6:J513,9,FALSE),"")</f>
        <v>2.72</v>
      </c>
      <c r="O7" s="36">
        <v>0.18</v>
      </c>
      <c r="P7" s="34">
        <f t="shared" si="3"/>
        <v>0.48960000000000004</v>
      </c>
    </row>
    <row r="8" spans="1:16" x14ac:dyDescent="0.25">
      <c r="A8" s="33"/>
      <c r="B8" s="32" t="str">
        <f>IFERROR(VLOOKUP(A8,'TARIFS 12 2025'!B7:J463,9,FALSE),"")</f>
        <v/>
      </c>
      <c r="C8" s="36"/>
      <c r="D8" s="34"/>
      <c r="E8" s="33" t="s">
        <v>675</v>
      </c>
      <c r="F8" s="32">
        <f>IFERROR(VLOOKUP(E8,'TARIFS 12 2025'!B7:J472,9,FALSE),"")</f>
        <v>5.16</v>
      </c>
      <c r="G8" s="36">
        <v>0.6</v>
      </c>
      <c r="H8" s="34">
        <f t="shared" si="1"/>
        <v>3.0960000000000001</v>
      </c>
      <c r="I8" s="33" t="s">
        <v>440</v>
      </c>
      <c r="J8" s="32">
        <f>IFERROR(VLOOKUP(I8,'TARIFS 12 2025'!B7:J506,9,FALSE),"")</f>
        <v>3.85</v>
      </c>
      <c r="K8" s="36">
        <v>0.08</v>
      </c>
      <c r="L8" s="34">
        <f t="shared" si="2"/>
        <v>0.308</v>
      </c>
      <c r="M8" s="33"/>
      <c r="N8" s="32" t="str">
        <f>IFERROR(VLOOKUP(M8,'TARIFS 12 2025'!B7:J514,9,FALSE),"")</f>
        <v/>
      </c>
      <c r="O8" s="36"/>
      <c r="P8" s="34"/>
    </row>
    <row r="9" spans="1:16" x14ac:dyDescent="0.25">
      <c r="A9" s="33"/>
      <c r="B9" s="32" t="str">
        <f>IFERROR(VLOOKUP(A9,'TARIFS 12 2025'!B8:J464,9,FALSE),"")</f>
        <v/>
      </c>
      <c r="C9" s="36"/>
      <c r="D9" s="34"/>
      <c r="E9" s="33" t="s">
        <v>498</v>
      </c>
      <c r="F9" s="32">
        <f>IFERROR(VLOOKUP(E9,'TARIFS 12 2025'!B8:J473,9,FALSE),"")</f>
        <v>2.72</v>
      </c>
      <c r="G9" s="36">
        <v>1.44</v>
      </c>
      <c r="H9" s="34">
        <f t="shared" si="1"/>
        <v>3.9168000000000003</v>
      </c>
      <c r="I9" s="33" t="s">
        <v>883</v>
      </c>
      <c r="J9" s="32">
        <f>IFERROR(VLOOKUP(I9,'TARIFS 12 2025'!B8:J507,9,FALSE),"")</f>
        <v>4.49</v>
      </c>
      <c r="K9" s="36">
        <v>2.5000000000000001E-2</v>
      </c>
      <c r="L9" s="34">
        <f t="shared" si="2"/>
        <v>0.11225000000000002</v>
      </c>
      <c r="M9" s="33"/>
      <c r="N9" s="32" t="str">
        <f>IFERROR(VLOOKUP(M9,'TARIFS 12 2025'!B8:J515,9,FALSE),"")</f>
        <v/>
      </c>
      <c r="O9" s="36"/>
      <c r="P9" s="34"/>
    </row>
    <row r="10" spans="1:16" x14ac:dyDescent="0.25">
      <c r="A10" s="33"/>
      <c r="B10" s="32" t="str">
        <f>IFERROR(VLOOKUP(A10,'TARIFS 12 2025'!B9:J465,9,FALSE),"")</f>
        <v/>
      </c>
      <c r="C10" s="36"/>
      <c r="D10" s="34"/>
      <c r="E10" s="33" t="s">
        <v>69</v>
      </c>
      <c r="F10" s="32">
        <f>IFERROR(VLOOKUP(E10,'TARIFS 12 2025'!B9:J474,9,FALSE),"")</f>
        <v>4.8</v>
      </c>
      <c r="G10" s="36">
        <v>2.4</v>
      </c>
      <c r="H10" s="34">
        <f t="shared" si="1"/>
        <v>11.52</v>
      </c>
      <c r="I10" s="33" t="s">
        <v>69</v>
      </c>
      <c r="J10" s="32">
        <f>IFERROR(VLOOKUP(I10,'TARIFS 12 2025'!B9:J508,9,FALSE),"")</f>
        <v>4.8</v>
      </c>
      <c r="K10" s="36">
        <v>0.14199999999999999</v>
      </c>
      <c r="L10" s="34">
        <f t="shared" si="2"/>
        <v>0.68159999999999987</v>
      </c>
      <c r="M10" s="33"/>
      <c r="N10" s="32" t="str">
        <f>IFERROR(VLOOKUP(M10,'TARIFS 12 2025'!B9:J516,9,FALSE),"")</f>
        <v/>
      </c>
      <c r="O10" s="36"/>
      <c r="P10" s="34"/>
    </row>
    <row r="11" spans="1:16" x14ac:dyDescent="0.25">
      <c r="A11" s="33"/>
      <c r="B11" s="32" t="str">
        <f>IFERROR(VLOOKUP(A11,'TARIFS 12 2025'!B10:J466,9,FALSE),"")</f>
        <v/>
      </c>
      <c r="C11" s="36"/>
      <c r="D11" s="34"/>
      <c r="E11" s="33" t="s">
        <v>272</v>
      </c>
      <c r="F11" s="32">
        <f>IFERROR(VLOOKUP(E11,'TARIFS 12 2025'!B10:J475,9,FALSE),"")</f>
        <v>4.0000000000000001E-3</v>
      </c>
      <c r="G11" s="36">
        <v>4.4000000000000004</v>
      </c>
      <c r="H11" s="34">
        <f t="shared" si="1"/>
        <v>1.7600000000000001E-2</v>
      </c>
      <c r="I11" s="33" t="s">
        <v>498</v>
      </c>
      <c r="J11" s="32">
        <f>IFERROR(VLOOKUP(I11,'TARIFS 12 2025'!B10:J509,9,FALSE),"")</f>
        <v>2.72</v>
      </c>
      <c r="K11" s="36">
        <v>2.58</v>
      </c>
      <c r="L11" s="34">
        <f t="shared" si="2"/>
        <v>7.0176000000000007</v>
      </c>
      <c r="M11" s="33"/>
      <c r="N11" s="32" t="str">
        <f>IFERROR(VLOOKUP(M11,'TARIFS 12 2025'!B10:J517,9,FALSE),"")</f>
        <v/>
      </c>
      <c r="O11" s="36"/>
      <c r="P11" s="34"/>
    </row>
    <row r="12" spans="1:16" x14ac:dyDescent="0.25">
      <c r="A12" s="33"/>
      <c r="B12" s="32" t="str">
        <f>IFERROR(VLOOKUP(A12,'TARIFS 12 2025'!B11:J469,9,FALSE),"")</f>
        <v/>
      </c>
      <c r="C12" s="36"/>
      <c r="D12" s="34"/>
      <c r="E12" s="33" t="s">
        <v>440</v>
      </c>
      <c r="F12" s="32">
        <f>IFERROR(VLOOKUP(E12,'TARIFS 12 2025'!B11:J476,9,FALSE),"")</f>
        <v>3.85</v>
      </c>
      <c r="G12" s="36">
        <v>0.5</v>
      </c>
      <c r="H12" s="34">
        <f t="shared" si="1"/>
        <v>1.925</v>
      </c>
      <c r="I12" s="33"/>
      <c r="J12" s="32" t="str">
        <f>IFERROR(VLOOKUP(I12,'TARIFS 12 2025'!B11:J510,9,FALSE),"")</f>
        <v/>
      </c>
      <c r="K12" s="36"/>
      <c r="L12" s="34"/>
      <c r="M12" s="33"/>
      <c r="N12" s="32" t="str">
        <f>IFERROR(VLOOKUP(M12,'TARIFS 12 2025'!B11:J518,9,FALSE),"")</f>
        <v/>
      </c>
      <c r="O12" s="36"/>
      <c r="P12" s="34"/>
    </row>
    <row r="13" spans="1:16" x14ac:dyDescent="0.25">
      <c r="A13" s="33"/>
      <c r="B13" s="32" t="str">
        <f>IFERROR(VLOOKUP(A13,'TARIFS 12 2025'!B12:J470,9,FALSE),"")</f>
        <v/>
      </c>
      <c r="C13" s="36"/>
      <c r="D13" s="34"/>
      <c r="E13" s="33" t="s">
        <v>883</v>
      </c>
      <c r="F13" s="32">
        <f>IFERROR(VLOOKUP(E13,'TARIFS 12 2025'!B12:J477,9,FALSE),"")</f>
        <v>4.49</v>
      </c>
      <c r="G13" s="36">
        <v>0.06</v>
      </c>
      <c r="H13" s="34">
        <f t="shared" si="1"/>
        <v>0.26940000000000003</v>
      </c>
      <c r="I13" s="33"/>
      <c r="J13" s="32" t="str">
        <f>IFERROR(VLOOKUP(I13,'TARIFS 12 2025'!B12:J511,9,FALSE),"")</f>
        <v/>
      </c>
      <c r="K13" s="36"/>
      <c r="L13" s="34"/>
      <c r="M13" s="33"/>
      <c r="N13" s="32" t="str">
        <f>IFERROR(VLOOKUP(M13,'TARIFS 12 2025'!B12:J519,9,FALSE),"")</f>
        <v/>
      </c>
      <c r="O13" s="36"/>
      <c r="P13" s="34"/>
    </row>
    <row r="14" spans="1:16" x14ac:dyDescent="0.25">
      <c r="A14" s="33"/>
      <c r="B14" s="32" t="str">
        <f>IFERROR(VLOOKUP(A14,'TARIFS 12 2025'!B13:J471,9,FALSE),"")</f>
        <v/>
      </c>
      <c r="C14" s="36"/>
      <c r="D14" s="34"/>
      <c r="E14" s="33"/>
      <c r="F14" s="32"/>
      <c r="G14" s="36"/>
      <c r="H14" s="34"/>
      <c r="I14" s="33"/>
      <c r="J14" s="32" t="str">
        <f>IFERROR(VLOOKUP(I14,'TARIFS 12 2025'!B13:J512,9,FALSE),"")</f>
        <v/>
      </c>
      <c r="K14" s="36"/>
      <c r="L14" s="34"/>
      <c r="M14" s="33"/>
      <c r="N14" s="32" t="str">
        <f>IFERROR(VLOOKUP(M14,'TARIFS 12 2025'!B13:J520,9,FALSE),"")</f>
        <v/>
      </c>
      <c r="O14" s="36"/>
      <c r="P14" s="34"/>
    </row>
    <row r="15" spans="1:16" x14ac:dyDescent="0.25">
      <c r="A15" s="33"/>
      <c r="B15" s="32"/>
      <c r="C15" s="36"/>
      <c r="D15" s="34"/>
      <c r="E15" s="33"/>
      <c r="F15" s="32"/>
      <c r="G15" s="36"/>
      <c r="H15" s="34"/>
      <c r="I15" s="33"/>
      <c r="J15" s="32" t="str">
        <f>IFERROR(VLOOKUP(I15,'TARIFS 12 2025'!B14:J513,9,FALSE),"")</f>
        <v/>
      </c>
      <c r="K15" s="36"/>
      <c r="L15" s="34"/>
      <c r="M15" s="33"/>
      <c r="N15" s="32" t="str">
        <f>IFERROR(VLOOKUP(M15,'TARIFS 12 2025'!B14:J521,9,FALSE),"")</f>
        <v/>
      </c>
      <c r="O15" s="36"/>
      <c r="P15" s="34"/>
    </row>
    <row r="16" spans="1:16" x14ac:dyDescent="0.25">
      <c r="A16" s="24"/>
      <c r="D16" s="25"/>
      <c r="E16" s="24"/>
      <c r="H16" s="25"/>
      <c r="I16" s="24"/>
      <c r="L16" s="25"/>
      <c r="M16" s="24"/>
      <c r="P16" s="25"/>
    </row>
    <row r="17" spans="1:16" x14ac:dyDescent="0.25">
      <c r="A17" s="24"/>
      <c r="C17" t="s">
        <v>1026</v>
      </c>
      <c r="D17" s="26">
        <f>+SUM(D4:D15)</f>
        <v>2.149</v>
      </c>
      <c r="E17" s="24"/>
      <c r="G17" t="s">
        <v>959</v>
      </c>
      <c r="H17" s="26">
        <f>+SUM(H4:H15)</f>
        <v>31.958800000000004</v>
      </c>
      <c r="I17" s="24"/>
      <c r="K17" t="s">
        <v>1027</v>
      </c>
      <c r="L17" s="26">
        <f>+SUM(L4:L15)</f>
        <v>10.479290000000001</v>
      </c>
      <c r="M17" s="24"/>
      <c r="O17" t="s">
        <v>1028</v>
      </c>
      <c r="P17" s="26">
        <f>+SUM(P4:P15)</f>
        <v>1.4076</v>
      </c>
    </row>
    <row r="18" spans="1:16" x14ac:dyDescent="0.25">
      <c r="A18" s="24"/>
      <c r="C18" t="s">
        <v>939</v>
      </c>
      <c r="D18" s="27">
        <f>+D17/3</f>
        <v>0.71633333333333338</v>
      </c>
      <c r="E18" s="24"/>
      <c r="G18" t="s">
        <v>939</v>
      </c>
      <c r="H18" s="27">
        <f>+H17/31.36</f>
        <v>1.0190943877551022</v>
      </c>
      <c r="I18" s="24"/>
      <c r="K18" t="s">
        <v>939</v>
      </c>
      <c r="L18" s="27">
        <f>+L17/3.485</f>
        <v>3.0069698708751798</v>
      </c>
      <c r="M18" s="24"/>
      <c r="O18" t="s">
        <v>939</v>
      </c>
      <c r="P18" s="27">
        <f>+P17/1.44</f>
        <v>0.97750000000000004</v>
      </c>
    </row>
    <row r="19" spans="1:16" x14ac:dyDescent="0.25">
      <c r="A19" s="24"/>
      <c r="D19" s="25"/>
      <c r="E19" s="24"/>
      <c r="H19" s="25"/>
      <c r="I19" s="24"/>
      <c r="L19" s="25"/>
      <c r="M19" s="24"/>
      <c r="P19" s="25"/>
    </row>
    <row r="20" spans="1:16" x14ac:dyDescent="0.25">
      <c r="A20" s="24"/>
      <c r="D20" s="27"/>
      <c r="E20" s="24"/>
      <c r="H20" s="27"/>
      <c r="I20" s="24"/>
      <c r="L20" s="27"/>
      <c r="M20" s="24"/>
      <c r="P20" s="27"/>
    </row>
    <row r="21" spans="1:16" ht="15.75" x14ac:dyDescent="0.25">
      <c r="A21" s="24"/>
      <c r="D21" s="31"/>
      <c r="E21" s="24"/>
      <c r="H21" s="31"/>
      <c r="I21" s="24"/>
      <c r="L21" s="31"/>
      <c r="M21" s="24"/>
      <c r="P21" s="31"/>
    </row>
    <row r="22" spans="1:16" ht="15.75" thickBot="1" x14ac:dyDescent="0.3">
      <c r="A22" s="28"/>
      <c r="B22" s="29"/>
      <c r="C22" s="29"/>
      <c r="D22" s="30"/>
      <c r="E22" s="28"/>
      <c r="F22" s="29"/>
      <c r="G22" s="29"/>
      <c r="H22" s="30"/>
      <c r="I22" s="28"/>
      <c r="J22" s="29"/>
      <c r="K22" s="29"/>
      <c r="L22" s="30"/>
      <c r="M22" s="28"/>
      <c r="N22" s="29"/>
      <c r="O22" s="29"/>
      <c r="P22" s="30"/>
    </row>
    <row r="23" spans="1:16" ht="15.75" thickBot="1" x14ac:dyDescent="0.3"/>
    <row r="24" spans="1:16" ht="24.75" customHeight="1" thickBot="1" x14ac:dyDescent="0.3">
      <c r="A24" s="174" t="s">
        <v>1029</v>
      </c>
      <c r="B24" s="175"/>
      <c r="C24" s="175"/>
      <c r="D24" s="176"/>
      <c r="E24" s="174" t="s">
        <v>1030</v>
      </c>
      <c r="F24" s="175"/>
      <c r="G24" s="175"/>
      <c r="H24" s="176"/>
      <c r="I24" s="174" t="s">
        <v>1031</v>
      </c>
      <c r="J24" s="175"/>
      <c r="K24" s="175"/>
      <c r="L24" s="176"/>
      <c r="M24" s="174" t="s">
        <v>1032</v>
      </c>
      <c r="N24" s="175"/>
      <c r="O24" s="175"/>
      <c r="P24" s="176"/>
    </row>
    <row r="25" spans="1:16" x14ac:dyDescent="0.25">
      <c r="A25" s="37"/>
      <c r="B25" s="6" t="s">
        <v>933</v>
      </c>
      <c r="C25" s="6" t="s">
        <v>934</v>
      </c>
      <c r="D25" s="38"/>
      <c r="E25" s="37"/>
      <c r="F25" s="6" t="s">
        <v>933</v>
      </c>
      <c r="G25" s="6" t="s">
        <v>934</v>
      </c>
      <c r="H25" s="38"/>
      <c r="I25" s="37"/>
      <c r="J25" s="6" t="s">
        <v>933</v>
      </c>
      <c r="K25" s="6" t="s">
        <v>934</v>
      </c>
      <c r="L25" s="38"/>
      <c r="M25" s="37"/>
      <c r="N25" s="6" t="s">
        <v>933</v>
      </c>
      <c r="O25" s="6" t="s">
        <v>934</v>
      </c>
      <c r="P25" s="38"/>
    </row>
    <row r="26" spans="1:16" x14ac:dyDescent="0.25">
      <c r="A26" s="33" t="s">
        <v>314</v>
      </c>
      <c r="B26" s="32">
        <f>IFERROR(VLOOKUP(A26,'TARIFS 12 2025'!B3:J525,9,FALSE),"")</f>
        <v>0.70499999999999996</v>
      </c>
      <c r="C26" s="36">
        <v>1</v>
      </c>
      <c r="D26" s="34">
        <f>+C26*B26</f>
        <v>0.70499999999999996</v>
      </c>
      <c r="E26" s="33" t="s">
        <v>319</v>
      </c>
      <c r="F26" s="32">
        <f>IFERROR(VLOOKUP(E26,'TARIFS 12 2025'!B3:J493,9,FALSE),"")</f>
        <v>0.89500000000000002</v>
      </c>
      <c r="G26" s="36">
        <v>54</v>
      </c>
      <c r="H26" s="34">
        <f>+G26*F26</f>
        <v>48.33</v>
      </c>
      <c r="I26" s="33" t="s">
        <v>272</v>
      </c>
      <c r="J26" s="32">
        <f>IFERROR(VLOOKUP(I26,'TARIFS 12 2025'!B3:J491,9,FALSE),"")</f>
        <v>4.0000000000000001E-3</v>
      </c>
      <c r="K26" s="36">
        <v>6</v>
      </c>
      <c r="L26" s="34">
        <f>+K26*J26</f>
        <v>2.4E-2</v>
      </c>
      <c r="M26" s="33" t="s">
        <v>247</v>
      </c>
      <c r="N26" s="32">
        <f>IFERROR(VLOOKUP(M26,'TARIFS 12 2025'!B3:J501,9,FALSE),"")</f>
        <v>0.97750000000000004</v>
      </c>
      <c r="O26" s="36">
        <v>1</v>
      </c>
      <c r="P26" s="34">
        <f>+O26*N26</f>
        <v>0.97750000000000004</v>
      </c>
    </row>
    <row r="27" spans="1:16" x14ac:dyDescent="0.25">
      <c r="A27" s="33" t="s">
        <v>272</v>
      </c>
      <c r="B27" s="32">
        <f>IFERROR(VLOOKUP(A27,'TARIFS 12 2025'!B4:J526,9,FALSE),"")</f>
        <v>4.0000000000000001E-3</v>
      </c>
      <c r="C27" s="36">
        <v>0.65</v>
      </c>
      <c r="D27" s="34">
        <f t="shared" ref="D27:D30" si="4">+C27*B27</f>
        <v>2.6000000000000003E-3</v>
      </c>
      <c r="E27" s="33" t="s">
        <v>69</v>
      </c>
      <c r="F27" s="32">
        <f>IFERROR(VLOOKUP(E27,'TARIFS 12 2025'!B4:J494,9,FALSE),"")</f>
        <v>4.8</v>
      </c>
      <c r="G27" s="36">
        <v>19.5</v>
      </c>
      <c r="H27" s="34">
        <f t="shared" ref="H27:H28" si="5">+G27*F27</f>
        <v>93.6</v>
      </c>
      <c r="I27" s="33" t="s">
        <v>69</v>
      </c>
      <c r="J27" s="32">
        <f>IFERROR(VLOOKUP(I27,'TARIFS 12 2025'!B4:J492,9,FALSE),"")</f>
        <v>4.8</v>
      </c>
      <c r="K27" s="36">
        <v>3</v>
      </c>
      <c r="L27" s="34">
        <f t="shared" ref="L27:L32" si="6">+K27*J27</f>
        <v>14.399999999999999</v>
      </c>
      <c r="M27" s="33" t="s">
        <v>51</v>
      </c>
      <c r="N27" s="32">
        <f>IFERROR(VLOOKUP(M27,'TARIFS 12 2025'!B4:J502,9,FALSE),"")</f>
        <v>11</v>
      </c>
      <c r="O27" s="36">
        <v>0.09</v>
      </c>
      <c r="P27" s="34">
        <f t="shared" ref="P27" si="7">+O27*N27</f>
        <v>0.99</v>
      </c>
    </row>
    <row r="28" spans="1:16" x14ac:dyDescent="0.25">
      <c r="A28" s="33" t="s">
        <v>831</v>
      </c>
      <c r="B28" s="32">
        <f>IFERROR(VLOOKUP(A28,'TARIFS 12 2025'!B5:J527,9,FALSE),"")</f>
        <v>0.27</v>
      </c>
      <c r="C28" s="36">
        <v>0.02</v>
      </c>
      <c r="D28" s="34">
        <f t="shared" si="4"/>
        <v>5.4000000000000003E-3</v>
      </c>
      <c r="E28" s="33" t="s">
        <v>831</v>
      </c>
      <c r="F28" s="32">
        <f>IFERROR(VLOOKUP(E28,'TARIFS 12 2025'!B5:J495,9,FALSE),"")</f>
        <v>0.27</v>
      </c>
      <c r="G28" s="36">
        <v>1.35</v>
      </c>
      <c r="H28" s="34">
        <f t="shared" si="5"/>
        <v>0.36450000000000005</v>
      </c>
      <c r="I28" s="33" t="s">
        <v>831</v>
      </c>
      <c r="J28" s="32">
        <f>IFERROR(VLOOKUP(I28,'TARIFS 12 2025'!B5:J493,9,FALSE),"")</f>
        <v>0.27</v>
      </c>
      <c r="K28" s="36">
        <v>0.06</v>
      </c>
      <c r="L28" s="34">
        <f t="shared" si="6"/>
        <v>1.6199999999999999E-2</v>
      </c>
      <c r="M28" s="33"/>
      <c r="N28" s="32" t="str">
        <f>IFERROR(VLOOKUP(M28,'TARIFS 12 2025'!B5:J503,9,FALSE),"")</f>
        <v/>
      </c>
      <c r="O28" s="36"/>
      <c r="P28" s="34"/>
    </row>
    <row r="29" spans="1:16" x14ac:dyDescent="0.25">
      <c r="A29" s="33" t="s">
        <v>438</v>
      </c>
      <c r="B29" s="32">
        <f>IFERROR(VLOOKUP(A29,'TARIFS 12 2025'!B6:J528,9,FALSE),"")</f>
        <v>3.05</v>
      </c>
      <c r="C29" s="36">
        <v>1.4999999999999999E-2</v>
      </c>
      <c r="D29" s="34">
        <f t="shared" si="4"/>
        <v>4.5749999999999999E-2</v>
      </c>
      <c r="E29" s="33" t="s">
        <v>896</v>
      </c>
      <c r="F29" s="32">
        <f>IFERROR(VLOOKUP(E29,'TARIFS 12 2025'!B7:J497,9,FALSE),"")</f>
        <v>0.69</v>
      </c>
      <c r="G29" s="36">
        <v>0.4</v>
      </c>
      <c r="H29" s="34">
        <f>+G29*F29</f>
        <v>0.27599999999999997</v>
      </c>
      <c r="I29" s="33" t="s">
        <v>854</v>
      </c>
      <c r="J29" s="32">
        <f>IFERROR(VLOOKUP(I29,'TARIFS 12 2025'!B6:J494,9,FALSE),"")</f>
        <v>0.86</v>
      </c>
      <c r="K29" s="36">
        <v>0.06</v>
      </c>
      <c r="L29" s="34">
        <f t="shared" si="6"/>
        <v>5.16E-2</v>
      </c>
      <c r="M29" s="33"/>
      <c r="N29" s="32" t="str">
        <f>IFERROR(VLOOKUP(M29,'TARIFS 12 2025'!B6:J504,9,FALSE),"")</f>
        <v/>
      </c>
      <c r="O29" s="36"/>
      <c r="P29" s="34"/>
    </row>
    <row r="30" spans="1:16" x14ac:dyDescent="0.25">
      <c r="A30" s="33" t="s">
        <v>883</v>
      </c>
      <c r="B30" s="32">
        <f>IFERROR(VLOOKUP(A30,'TARIFS 12 2025'!B7:J529,9,FALSE),"")</f>
        <v>4.49</v>
      </c>
      <c r="C30" s="36">
        <v>0.01</v>
      </c>
      <c r="D30" s="34">
        <f t="shared" si="4"/>
        <v>4.4900000000000002E-2</v>
      </c>
      <c r="E30" s="33" t="s">
        <v>272</v>
      </c>
      <c r="F30" s="32">
        <f>IFERROR(VLOOKUP(E30,'TARIFS 12 2025'!B8:J498,9,FALSE),"")</f>
        <v>4.0000000000000001E-3</v>
      </c>
      <c r="G30" s="36">
        <v>18</v>
      </c>
      <c r="H30" s="34">
        <f>+G30*F30</f>
        <v>7.2000000000000008E-2</v>
      </c>
      <c r="I30" s="33" t="s">
        <v>314</v>
      </c>
      <c r="J30" s="32">
        <f>IFERROR(VLOOKUP(I30,'TARIFS 12 2025'!B7:J495,9,FALSE),"")</f>
        <v>0.70499999999999996</v>
      </c>
      <c r="K30" s="36">
        <v>3.6</v>
      </c>
      <c r="L30" s="34">
        <f t="shared" si="6"/>
        <v>2.5379999999999998</v>
      </c>
      <c r="M30" s="33"/>
      <c r="N30" s="32" t="str">
        <f>IFERROR(VLOOKUP(M30,'TARIFS 12 2025'!B7:J505,9,FALSE),"")</f>
        <v/>
      </c>
      <c r="O30" s="36"/>
      <c r="P30" s="34"/>
    </row>
    <row r="31" spans="1:16" x14ac:dyDescent="0.25">
      <c r="A31" s="33"/>
      <c r="B31" s="32" t="str">
        <f>IFERROR(VLOOKUP(A31,'TARIFS 12 2025'!B8:J530,9,FALSE),"")</f>
        <v/>
      </c>
      <c r="C31" s="36"/>
      <c r="D31" s="34"/>
      <c r="E31" s="33" t="s">
        <v>444</v>
      </c>
      <c r="F31" s="32">
        <f>IFERROR(VLOOKUP(E31,'TARIFS 12 2025'!B9:J499,9,FALSE),"")</f>
        <v>2.5</v>
      </c>
      <c r="G31" s="36">
        <v>20</v>
      </c>
      <c r="H31" s="34">
        <f>+G31*F31</f>
        <v>50</v>
      </c>
      <c r="I31" s="33" t="s">
        <v>498</v>
      </c>
      <c r="J31" s="32">
        <f>IFERROR(VLOOKUP(I31,'TARIFS 12 2025'!B8:J496,9,FALSE),"")</f>
        <v>2.72</v>
      </c>
      <c r="K31" s="36">
        <v>4.125</v>
      </c>
      <c r="L31" s="34">
        <f t="shared" si="6"/>
        <v>11.22</v>
      </c>
      <c r="M31" s="33"/>
      <c r="N31" s="32" t="str">
        <f>IFERROR(VLOOKUP(M31,'TARIFS 12 2025'!B8:J506,9,FALSE),"")</f>
        <v/>
      </c>
      <c r="O31" s="36"/>
      <c r="P31" s="34"/>
    </row>
    <row r="32" spans="1:16" x14ac:dyDescent="0.25">
      <c r="A32" s="33"/>
      <c r="B32" s="32" t="str">
        <f>IFERROR(VLOOKUP(A32,'TARIFS 12 2025'!B9:J531,9,FALSE),"")</f>
        <v/>
      </c>
      <c r="C32" s="36"/>
      <c r="D32" s="34"/>
      <c r="E32" s="33" t="s">
        <v>854</v>
      </c>
      <c r="F32" s="32">
        <f>IFERROR(VLOOKUP(E32,'TARIFS 12 2025'!B10:J500,9,FALSE),"")</f>
        <v>0.86</v>
      </c>
      <c r="G32" s="36">
        <v>1.35</v>
      </c>
      <c r="H32" s="34">
        <f>+G32*F32</f>
        <v>1.161</v>
      </c>
      <c r="I32" s="33" t="s">
        <v>19</v>
      </c>
      <c r="J32" s="32">
        <f>IFERROR(VLOOKUP(I32,'TARIFS 12 2025'!B3:J503,9,FALSE),"")</f>
        <v>2.75</v>
      </c>
      <c r="K32" s="36">
        <v>1</v>
      </c>
      <c r="L32" s="34">
        <f t="shared" si="6"/>
        <v>2.75</v>
      </c>
      <c r="M32" s="33"/>
      <c r="N32" s="32" t="str">
        <f>IFERROR(VLOOKUP(M32,'TARIFS 12 2025'!B9:J507,9,FALSE),"")</f>
        <v/>
      </c>
      <c r="O32" s="36"/>
      <c r="P32" s="34"/>
    </row>
    <row r="33" spans="1:16" x14ac:dyDescent="0.25">
      <c r="A33" s="33"/>
      <c r="B33" s="32" t="str">
        <f>IFERROR(VLOOKUP(A33,'TARIFS 12 2025'!B10:J532,9,FALSE),"")</f>
        <v/>
      </c>
      <c r="C33" s="36"/>
      <c r="D33" s="34"/>
      <c r="E33" s="33"/>
      <c r="F33" s="32" t="str">
        <f>IFERROR(VLOOKUP(E33,'TARIFS 12 2025'!B10:J500,9,FALSE),"")</f>
        <v/>
      </c>
      <c r="G33" s="36"/>
      <c r="H33" s="34"/>
      <c r="I33" s="33"/>
      <c r="J33" s="32"/>
      <c r="K33" s="36"/>
      <c r="L33" s="34"/>
      <c r="M33" s="33"/>
      <c r="N33" s="32" t="str">
        <f>IFERROR(VLOOKUP(M33,'TARIFS 12 2025'!B10:J508,9,FALSE),"")</f>
        <v/>
      </c>
      <c r="O33" s="36"/>
      <c r="P33" s="34"/>
    </row>
    <row r="34" spans="1:16" x14ac:dyDescent="0.25">
      <c r="A34" s="33"/>
      <c r="B34" s="32" t="str">
        <f>IFERROR(VLOOKUP(A34,'TARIFS 12 2025'!B11:J533,9,FALSE),"")</f>
        <v/>
      </c>
      <c r="C34" s="36"/>
      <c r="D34" s="34"/>
      <c r="E34" s="33"/>
      <c r="F34" s="32" t="str">
        <f>IFERROR(VLOOKUP(E34,'TARIFS 12 2025'!B11:J501,9,FALSE),"")</f>
        <v/>
      </c>
      <c r="G34" s="36"/>
      <c r="H34" s="34"/>
      <c r="I34" s="33"/>
      <c r="J34" s="32" t="str">
        <f>IFERROR(VLOOKUP(I34,'TARIFS 12 2025'!B11:J499,9,FALSE),"")</f>
        <v/>
      </c>
      <c r="K34" s="36"/>
      <c r="L34" s="34"/>
      <c r="M34" s="33"/>
      <c r="N34" s="32" t="str">
        <f>IFERROR(VLOOKUP(M34,'TARIFS 12 2025'!B11:J509,9,FALSE),"")</f>
        <v/>
      </c>
      <c r="O34" s="36"/>
      <c r="P34" s="34"/>
    </row>
    <row r="35" spans="1:16" x14ac:dyDescent="0.25">
      <c r="A35" s="33"/>
      <c r="B35" s="32" t="str">
        <f>IFERROR(VLOOKUP(A35,'TARIFS 12 2025'!B12:J534,9,FALSE),"")</f>
        <v/>
      </c>
      <c r="C35" s="36"/>
      <c r="D35" s="34"/>
      <c r="E35" s="33"/>
      <c r="F35" s="32"/>
      <c r="G35" s="36"/>
      <c r="H35" s="34"/>
      <c r="I35" s="33"/>
      <c r="J35" s="32" t="str">
        <f>IFERROR(VLOOKUP(I35,'TARIFS 12 2025'!B12:J500,9,FALSE),"")</f>
        <v/>
      </c>
      <c r="K35" s="36"/>
      <c r="L35" s="34"/>
      <c r="M35" s="33"/>
      <c r="N35" s="32" t="str">
        <f>IFERROR(VLOOKUP(M35,'TARIFS 12 2025'!B12:J510,9,FALSE),"")</f>
        <v/>
      </c>
      <c r="O35" s="36"/>
      <c r="P35" s="34"/>
    </row>
    <row r="36" spans="1:16" x14ac:dyDescent="0.25">
      <c r="A36" s="33"/>
      <c r="B36" s="32"/>
      <c r="C36" s="36"/>
      <c r="D36" s="34"/>
      <c r="E36" s="33"/>
      <c r="F36" s="32" t="str">
        <f>IFERROR(VLOOKUP(E36,'TARIFS 12 2025'!B13:J503,9,FALSE),"")</f>
        <v/>
      </c>
      <c r="G36" s="36"/>
      <c r="H36" s="34"/>
      <c r="I36" s="33"/>
      <c r="J36" s="32" t="str">
        <f>IFERROR(VLOOKUP(I36,'TARIFS 12 2025'!F13:N503,9,FALSE),"")</f>
        <v/>
      </c>
      <c r="K36" s="36"/>
      <c r="L36" s="34"/>
      <c r="M36" s="33"/>
      <c r="N36" s="32" t="str">
        <f>IFERROR(VLOOKUP(M36,'TARIFS 12 2025'!B13:J511,9,FALSE),"")</f>
        <v/>
      </c>
      <c r="O36" s="36"/>
      <c r="P36" s="34"/>
    </row>
    <row r="37" spans="1:16" x14ac:dyDescent="0.25">
      <c r="A37" s="33"/>
      <c r="B37" s="32"/>
      <c r="C37" s="36"/>
      <c r="D37" s="34"/>
      <c r="E37" s="33"/>
      <c r="F37" s="32" t="str">
        <f>IFERROR(VLOOKUP(E37,'TARIFS 12 2025'!B14:J504,9,FALSE),"")</f>
        <v/>
      </c>
      <c r="G37" s="36"/>
      <c r="H37" s="34"/>
      <c r="I37" s="33"/>
      <c r="J37" s="32" t="str">
        <f>IFERROR(VLOOKUP(I37,'TARIFS 12 2025'!F14:N504,9,FALSE),"")</f>
        <v/>
      </c>
      <c r="K37" s="36"/>
      <c r="L37" s="34"/>
      <c r="M37" s="33"/>
      <c r="N37" s="162" t="str">
        <f>IFERROR(VLOOKUP(M37,'TARIFS 12 2025'!B14:J512,9,FALSE),"")</f>
        <v/>
      </c>
      <c r="O37" s="36"/>
      <c r="P37" s="34"/>
    </row>
    <row r="38" spans="1:16" x14ac:dyDescent="0.25">
      <c r="A38" s="24"/>
      <c r="D38" s="25"/>
      <c r="E38" s="24"/>
      <c r="H38" s="25"/>
      <c r="I38" s="24"/>
      <c r="L38" s="25"/>
      <c r="M38" s="24"/>
      <c r="N38" s="160" t="str">
        <f>IFERROR(VLOOKUP(M38,'TARIFS 12 2025'!B15:J513,9,FALSE),"")</f>
        <v/>
      </c>
      <c r="P38" s="25"/>
    </row>
    <row r="39" spans="1:16" x14ac:dyDescent="0.25">
      <c r="A39" s="24"/>
      <c r="C39" t="s">
        <v>1033</v>
      </c>
      <c r="D39" s="26">
        <f>+SUM(D26:D37)</f>
        <v>0.80364999999999998</v>
      </c>
      <c r="E39" s="24"/>
      <c r="G39" t="s">
        <v>1034</v>
      </c>
      <c r="H39" s="26">
        <f>+SUM(H26:H37)</f>
        <v>193.80350000000001</v>
      </c>
      <c r="I39" s="24"/>
      <c r="K39" t="s">
        <v>1035</v>
      </c>
      <c r="L39" s="26">
        <f>+SUM(L26:L37)/6</f>
        <v>5.1666333333333334</v>
      </c>
      <c r="M39" s="24"/>
      <c r="N39" s="160" t="str">
        <f>IFERROR(VLOOKUP(M39,'TARIFS 12 2025'!B16:J514,9,FALSE),"")</f>
        <v/>
      </c>
      <c r="O39" t="s">
        <v>939</v>
      </c>
      <c r="P39" s="26">
        <f>+SUM(P26:P37)</f>
        <v>1.9675</v>
      </c>
    </row>
    <row r="40" spans="1:16" x14ac:dyDescent="0.25">
      <c r="A40" s="24"/>
      <c r="C40" t="s">
        <v>939</v>
      </c>
      <c r="D40" s="27">
        <f>+D39/1.7</f>
        <v>0.47273529411764703</v>
      </c>
      <c r="E40" s="24"/>
      <c r="G40" t="s">
        <v>939</v>
      </c>
      <c r="H40" s="27">
        <f>+H39/114.6</f>
        <v>1.6911300174520072</v>
      </c>
      <c r="I40" s="24"/>
      <c r="K40" t="s">
        <v>939</v>
      </c>
      <c r="L40" s="27">
        <f>+L39/420</f>
        <v>1.2301507936507937E-2</v>
      </c>
      <c r="M40" s="24"/>
      <c r="N40" s="160" t="str">
        <f>IFERROR(VLOOKUP(M40,'TARIFS 12 2025'!B17:J515,9,FALSE),"")</f>
        <v/>
      </c>
      <c r="O40" t="s">
        <v>939</v>
      </c>
      <c r="P40" s="27">
        <f>+P39</f>
        <v>1.9675</v>
      </c>
    </row>
    <row r="41" spans="1:16" x14ac:dyDescent="0.25">
      <c r="A41" s="24"/>
      <c r="D41" s="25"/>
      <c r="E41" s="24"/>
      <c r="H41" s="25"/>
      <c r="I41" s="24"/>
      <c r="L41" s="25"/>
      <c r="M41" s="24"/>
      <c r="N41" s="160" t="str">
        <f>IFERROR(VLOOKUP(M41,'TARIFS 12 2025'!B18:J516,9,FALSE),"")</f>
        <v/>
      </c>
      <c r="P41" s="25"/>
    </row>
    <row r="42" spans="1:16" x14ac:dyDescent="0.25">
      <c r="A42" s="24"/>
      <c r="D42" s="27"/>
      <c r="E42" s="24"/>
      <c r="H42" s="27"/>
      <c r="I42" s="24"/>
      <c r="L42" s="27"/>
      <c r="M42" s="24"/>
      <c r="N42" s="160" t="str">
        <f>IFERROR(VLOOKUP(M42,'TARIFS 12 2025'!B19:J517,9,FALSE),"")</f>
        <v/>
      </c>
      <c r="P42" s="83"/>
    </row>
    <row r="43" spans="1:16" ht="15.75" x14ac:dyDescent="0.25">
      <c r="A43" s="24"/>
      <c r="D43" s="31"/>
      <c r="E43" s="24"/>
      <c r="H43" s="31"/>
      <c r="I43" s="24"/>
      <c r="L43" s="31"/>
      <c r="M43" s="24"/>
      <c r="N43" s="160" t="str">
        <f>IFERROR(VLOOKUP(M43,'TARIFS 12 2025'!B20:J518,9,FALSE),"")</f>
        <v/>
      </c>
      <c r="P43" s="31"/>
    </row>
    <row r="44" spans="1:16" ht="15.75" customHeight="1" x14ac:dyDescent="0.25">
      <c r="A44" s="28"/>
      <c r="B44" s="29"/>
      <c r="C44" s="29"/>
      <c r="D44" s="30"/>
      <c r="E44" s="28"/>
      <c r="F44" s="29"/>
      <c r="G44" s="29"/>
      <c r="H44" s="30"/>
      <c r="I44" s="28"/>
      <c r="J44" s="29"/>
      <c r="K44" s="29"/>
      <c r="L44" s="30"/>
      <c r="M44" s="28"/>
      <c r="N44" s="163" t="str">
        <f>IFERROR(VLOOKUP(M44,'TARIFS 12 2025'!B21:J519,9,FALSE),"")</f>
        <v/>
      </c>
      <c r="O44" s="29"/>
      <c r="P44" s="30"/>
    </row>
    <row r="45" spans="1:16" ht="15.75" customHeight="1" x14ac:dyDescent="0.25">
      <c r="N45" s="160" t="str">
        <f>IFERROR(VLOOKUP(M45,'TARIFS 12 2025'!B22:J520,9,FALSE),"")</f>
        <v/>
      </c>
    </row>
    <row r="46" spans="1:16" ht="24.75" customHeight="1" x14ac:dyDescent="0.25">
      <c r="A46" s="174" t="s">
        <v>1036</v>
      </c>
      <c r="B46" s="175"/>
      <c r="C46" s="175"/>
      <c r="D46" s="176"/>
      <c r="E46" s="174" t="s">
        <v>974</v>
      </c>
      <c r="F46" s="175"/>
      <c r="G46" s="175"/>
      <c r="H46" s="176"/>
      <c r="I46" s="174" t="s">
        <v>1037</v>
      </c>
      <c r="J46" s="175"/>
      <c r="K46" s="175"/>
      <c r="L46" s="175"/>
      <c r="M46" s="181" t="s">
        <v>1038</v>
      </c>
      <c r="N46" s="182"/>
      <c r="O46" s="182"/>
      <c r="P46" s="183"/>
    </row>
    <row r="47" spans="1:16" x14ac:dyDescent="0.25">
      <c r="A47" s="37"/>
      <c r="B47" s="6" t="s">
        <v>933</v>
      </c>
      <c r="C47" s="6" t="s">
        <v>934</v>
      </c>
      <c r="D47" s="38"/>
      <c r="E47" s="37"/>
      <c r="F47" s="6" t="s">
        <v>933</v>
      </c>
      <c r="G47" s="6" t="s">
        <v>934</v>
      </c>
      <c r="H47" s="38"/>
      <c r="I47" s="37"/>
      <c r="J47" s="6" t="s">
        <v>933</v>
      </c>
      <c r="K47" s="6" t="s">
        <v>934</v>
      </c>
      <c r="L47" s="38"/>
      <c r="M47" s="37"/>
      <c r="N47" s="161" t="str">
        <f>IFERROR(VLOOKUP(M47,'TARIFS 12 2025'!B24:J522,9,FALSE),"")</f>
        <v/>
      </c>
      <c r="O47" s="6" t="s">
        <v>934</v>
      </c>
      <c r="P47" s="38"/>
    </row>
    <row r="48" spans="1:16" x14ac:dyDescent="0.25">
      <c r="A48" s="33" t="s">
        <v>338</v>
      </c>
      <c r="B48" s="32">
        <f>IFERROR(VLOOKUP(A48,'TARIFS 12 2025'!B25:J547,9,FALSE),"")</f>
        <v>1.83</v>
      </c>
      <c r="C48" s="36">
        <v>1</v>
      </c>
      <c r="D48" s="34">
        <f>+C48*B48</f>
        <v>1.83</v>
      </c>
      <c r="E48" s="33" t="s">
        <v>69</v>
      </c>
      <c r="F48" s="32">
        <f>IFERROR(VLOOKUP(E48,'TARIFS 12 2025'!B25:J515,9,FALSE),"")</f>
        <v>4.8</v>
      </c>
      <c r="G48" s="36">
        <v>6.65</v>
      </c>
      <c r="H48" s="34">
        <f>+G48*F48</f>
        <v>31.92</v>
      </c>
      <c r="I48" s="33" t="s">
        <v>243</v>
      </c>
      <c r="J48" s="32">
        <f>IFERROR(VLOOKUP(I48,'TARIFS 12 2025'!B25:J513,9,FALSE),"")</f>
        <v>3.92</v>
      </c>
      <c r="K48" s="36">
        <v>1</v>
      </c>
      <c r="L48" s="34">
        <f>+K48*J48</f>
        <v>3.92</v>
      </c>
      <c r="M48" s="33" t="s">
        <v>69</v>
      </c>
      <c r="N48" s="32">
        <f>IFERROR(VLOOKUP(M48,'TARIFS 12 2025'!B25:J523,9,FALSE),"")</f>
        <v>4.8</v>
      </c>
      <c r="O48" s="36">
        <v>0.9375</v>
      </c>
      <c r="P48" s="34">
        <f>+O48*N48</f>
        <v>4.5</v>
      </c>
    </row>
    <row r="49" spans="1:16" x14ac:dyDescent="0.25">
      <c r="A49" s="33" t="s">
        <v>51</v>
      </c>
      <c r="B49" s="32">
        <v>11</v>
      </c>
      <c r="C49" s="36">
        <v>0.05</v>
      </c>
      <c r="D49" s="34">
        <f t="shared" ref="D49" si="8">+C49*B49</f>
        <v>0.55000000000000004</v>
      </c>
      <c r="E49" s="33" t="s">
        <v>857</v>
      </c>
      <c r="F49" s="32">
        <f>IFERROR(VLOOKUP(E49,'TARIFS 12 2025'!B26:J516,9,FALSE),"")</f>
        <v>1.1100000000000001</v>
      </c>
      <c r="G49" s="36">
        <v>6</v>
      </c>
      <c r="H49" s="34">
        <f t="shared" ref="H49:H54" si="9">+G49*F49</f>
        <v>6.66</v>
      </c>
      <c r="I49" s="33" t="s">
        <v>217</v>
      </c>
      <c r="J49" s="32">
        <f>IFERROR(VLOOKUP(I49,'TARIFS 12 2025'!B26:J514,9,FALSE),"")</f>
        <v>16.02</v>
      </c>
      <c r="K49" s="36">
        <v>0.2</v>
      </c>
      <c r="L49" s="34">
        <f t="shared" ref="L49:L50" si="10">+K49*J49</f>
        <v>3.2040000000000002</v>
      </c>
      <c r="M49" s="33" t="s">
        <v>444</v>
      </c>
      <c r="N49" s="32">
        <f>IFERROR(VLOOKUP(M49,'TARIFS 12 2025'!B26:J524,9,FALSE),"")</f>
        <v>2.5</v>
      </c>
      <c r="O49" s="36">
        <f>1.875/2</f>
        <v>0.9375</v>
      </c>
      <c r="P49" s="34">
        <f t="shared" ref="P49:P55" si="11">+O49*N49</f>
        <v>2.34375</v>
      </c>
    </row>
    <row r="50" spans="1:16" x14ac:dyDescent="0.25">
      <c r="A50" s="33"/>
      <c r="B50" s="32" t="str">
        <f>IFERROR(VLOOKUP(A50,'TARIFS 12 2025'!B27:J549,9,FALSE),"")</f>
        <v/>
      </c>
      <c r="C50" s="36"/>
      <c r="D50" s="34"/>
      <c r="E50" s="33" t="s">
        <v>498</v>
      </c>
      <c r="F50" s="32">
        <f>IFERROR(VLOOKUP(E50,'TARIFS 12 2025'!B27:J517,9,FALSE),"")</f>
        <v>2.72</v>
      </c>
      <c r="G50" s="36">
        <v>1</v>
      </c>
      <c r="H50" s="34">
        <f t="shared" si="9"/>
        <v>2.72</v>
      </c>
      <c r="I50" s="33" t="s">
        <v>374</v>
      </c>
      <c r="J50" s="32">
        <f>IFERROR(VLOOKUP(I50,'TARIFS 12 2025'!B27:J515,9,FALSE),"")</f>
        <v>20.56</v>
      </c>
      <c r="K50" s="36">
        <v>5.5E-2</v>
      </c>
      <c r="L50" s="34">
        <f t="shared" si="10"/>
        <v>1.1308</v>
      </c>
      <c r="M50" s="33" t="s">
        <v>852</v>
      </c>
      <c r="N50" s="32">
        <f>IFERROR(VLOOKUP(M50,'TARIFS 12 2025'!B27:J525,9,FALSE),"")</f>
        <v>1.4670000000000001</v>
      </c>
      <c r="O50" s="36">
        <v>1.5625</v>
      </c>
      <c r="P50" s="34">
        <f t="shared" si="11"/>
        <v>2.2921875000000003</v>
      </c>
    </row>
    <row r="51" spans="1:16" x14ac:dyDescent="0.25">
      <c r="A51" s="33"/>
      <c r="B51" s="32" t="str">
        <f>IFERROR(VLOOKUP(A51,'TARIFS 12 2025'!B28:J550,9,FALSE),"")</f>
        <v/>
      </c>
      <c r="C51" s="36"/>
      <c r="D51" s="34"/>
      <c r="E51" s="33" t="s">
        <v>432</v>
      </c>
      <c r="F51" s="32">
        <f>IFERROR(VLOOKUP(E51,'TARIFS 12 2025'!B28:J518,9,FALSE),"")</f>
        <v>4.6900000000000004</v>
      </c>
      <c r="G51" s="36">
        <v>0.12</v>
      </c>
      <c r="H51" s="34">
        <f t="shared" si="9"/>
        <v>0.56280000000000008</v>
      </c>
      <c r="I51" s="33"/>
      <c r="J51" s="32" t="str">
        <f>IFERROR(VLOOKUP(I51,'TARIFS 12 2025'!B28:J516,9,FALSE),"")</f>
        <v/>
      </c>
      <c r="K51" s="36"/>
      <c r="L51" s="34"/>
      <c r="M51" s="33" t="s">
        <v>854</v>
      </c>
      <c r="N51" s="32">
        <f>IFERROR(VLOOKUP(M51,'TARIFS 12 2025'!B28:J526,9,FALSE),"")</f>
        <v>0.86</v>
      </c>
      <c r="O51" s="36">
        <v>1.5625</v>
      </c>
      <c r="P51" s="34">
        <f t="shared" si="11"/>
        <v>1.34375</v>
      </c>
    </row>
    <row r="52" spans="1:16" x14ac:dyDescent="0.25">
      <c r="A52" s="33"/>
      <c r="B52" s="32" t="str">
        <f>IFERROR(VLOOKUP(A52,'TARIFS 12 2025'!B29:J551,9,FALSE),"")</f>
        <v/>
      </c>
      <c r="C52" s="36"/>
      <c r="D52" s="34"/>
      <c r="E52" s="33" t="s">
        <v>831</v>
      </c>
      <c r="F52" s="32">
        <f>IFERROR(VLOOKUP(E52,'TARIFS 12 2025'!B29:J519,9,FALSE),"")</f>
        <v>0.27</v>
      </c>
      <c r="G52" s="36">
        <v>0.15</v>
      </c>
      <c r="H52" s="34">
        <f t="shared" si="9"/>
        <v>4.0500000000000001E-2</v>
      </c>
      <c r="I52" s="33"/>
      <c r="J52" s="32" t="str">
        <f>IFERROR(VLOOKUP(I52,'TARIFS 12 2025'!B29:J517,9,FALSE),"")</f>
        <v/>
      </c>
      <c r="K52" s="36"/>
      <c r="L52" s="34"/>
      <c r="M52" s="33" t="s">
        <v>498</v>
      </c>
      <c r="N52" s="32">
        <f>IFERROR(VLOOKUP(M52,'TARIFS 12 2025'!B29:J527,9,FALSE),"")</f>
        <v>2.72</v>
      </c>
      <c r="O52" s="36">
        <v>1.25</v>
      </c>
      <c r="P52" s="34">
        <f t="shared" si="11"/>
        <v>3.4000000000000004</v>
      </c>
    </row>
    <row r="53" spans="1:16" x14ac:dyDescent="0.25">
      <c r="A53" s="33"/>
      <c r="B53" s="32" t="str">
        <f>IFERROR(VLOOKUP(A53,'TARIFS 12 2025'!B30:J552,9,FALSE),"")</f>
        <v/>
      </c>
      <c r="C53" s="36"/>
      <c r="D53" s="34"/>
      <c r="E53" s="33" t="s">
        <v>318</v>
      </c>
      <c r="F53" s="32">
        <f>IFERROR(VLOOKUP(E53,'TARIFS 12 2025'!B30:J520,9,FALSE),"")</f>
        <v>1.05</v>
      </c>
      <c r="G53" s="36">
        <v>8</v>
      </c>
      <c r="H53" s="34">
        <f t="shared" si="9"/>
        <v>8.4</v>
      </c>
      <c r="I53" s="33"/>
      <c r="J53" s="32" t="str">
        <f>IFERROR(VLOOKUP(I53,'TARIFS 12 2025'!B30:J518,9,FALSE),"")</f>
        <v/>
      </c>
      <c r="K53" s="36"/>
      <c r="L53" s="34"/>
      <c r="M53" s="33" t="s">
        <v>432</v>
      </c>
      <c r="N53" s="32">
        <f>IFERROR(VLOOKUP(M53,'TARIFS 12 2025'!B30:J528,9,FALSE),"")</f>
        <v>4.6900000000000004</v>
      </c>
      <c r="O53" s="36">
        <v>6.25E-2</v>
      </c>
      <c r="P53" s="34">
        <f t="shared" si="11"/>
        <v>0.29312500000000002</v>
      </c>
    </row>
    <row r="54" spans="1:16" x14ac:dyDescent="0.25">
      <c r="A54" s="33"/>
      <c r="B54" s="32" t="str">
        <f>IFERROR(VLOOKUP(A54,'TARIFS 12 2025'!B31:J553,9,FALSE),"")</f>
        <v/>
      </c>
      <c r="C54" s="36"/>
      <c r="D54" s="34"/>
      <c r="E54" s="33" t="s">
        <v>412</v>
      </c>
      <c r="F54" s="32">
        <f>IFERROR(VLOOKUP(E54,'TARIFS 12 2025'!B31:J521,9,FALSE),"")</f>
        <v>5.3890000000000002</v>
      </c>
      <c r="G54" s="36">
        <v>1</v>
      </c>
      <c r="H54" s="34">
        <f t="shared" si="9"/>
        <v>5.3890000000000002</v>
      </c>
      <c r="I54" s="33"/>
      <c r="J54" s="32" t="str">
        <f>IFERROR(VLOOKUP(I54,'TARIFS 12 2025'!B25:J525,9,FALSE),"")</f>
        <v/>
      </c>
      <c r="K54" s="36"/>
      <c r="L54" s="34"/>
      <c r="M54" s="33" t="s">
        <v>831</v>
      </c>
      <c r="N54" s="32">
        <f>IFERROR(VLOOKUP(M54,'TARIFS 12 2025'!B31:J529,9,FALSE),"")</f>
        <v>0.27</v>
      </c>
      <c r="O54" s="36">
        <v>6.25E-2</v>
      </c>
      <c r="P54" s="34">
        <f t="shared" si="11"/>
        <v>1.6875000000000001E-2</v>
      </c>
    </row>
    <row r="55" spans="1:16" x14ac:dyDescent="0.25">
      <c r="A55" s="33"/>
      <c r="B55" s="32" t="str">
        <f>IFERROR(VLOOKUP(A55,'TARIFS 12 2025'!B32:J554,9,FALSE),"")</f>
        <v/>
      </c>
      <c r="C55" s="36"/>
      <c r="D55" s="34"/>
      <c r="E55" s="33"/>
      <c r="F55" s="32" t="str">
        <f>IFERROR(VLOOKUP(E55,'TARIFS 12 2025'!B32:J522,9,FALSE),"")</f>
        <v/>
      </c>
      <c r="G55" s="36"/>
      <c r="H55" s="34"/>
      <c r="I55" s="33"/>
      <c r="J55" s="32" t="str">
        <f>IFERROR(VLOOKUP(I55,'TARIFS 12 2025'!B32:J520,9,FALSE),"")</f>
        <v/>
      </c>
      <c r="K55" s="36"/>
      <c r="L55" s="34"/>
      <c r="M55" s="33" t="s">
        <v>314</v>
      </c>
      <c r="N55" s="32">
        <f>IFERROR(VLOOKUP(M55,'TARIFS 12 2025'!B32:J530,9,FALSE),"")</f>
        <v>0.70499999999999996</v>
      </c>
      <c r="O55" s="36">
        <v>4.375</v>
      </c>
      <c r="P55" s="34">
        <f t="shared" si="11"/>
        <v>3.0843749999999996</v>
      </c>
    </row>
    <row r="56" spans="1:16" x14ac:dyDescent="0.25">
      <c r="A56" s="33"/>
      <c r="B56" s="32" t="str">
        <f>IFERROR(VLOOKUP(A56,'TARIFS 12 2025'!B33:J555,9,FALSE),"")</f>
        <v/>
      </c>
      <c r="C56" s="36"/>
      <c r="D56" s="34"/>
      <c r="E56" s="33"/>
      <c r="F56" s="32" t="str">
        <f>IFERROR(VLOOKUP(E56,'TARIFS 12 2025'!B33:J523,9,FALSE),"")</f>
        <v/>
      </c>
      <c r="G56" s="36"/>
      <c r="H56" s="34"/>
      <c r="I56" s="33"/>
      <c r="J56" s="32" t="str">
        <f>IFERROR(VLOOKUP(I56,'TARIFS 12 2025'!B33:J521,9,FALSE),"")</f>
        <v/>
      </c>
      <c r="K56" s="36"/>
      <c r="L56" s="34"/>
      <c r="M56" s="33"/>
      <c r="N56" s="32" t="str">
        <f>IFERROR(VLOOKUP(M56,'TARIFS 12 2025'!B33:J531,9,FALSE),"")</f>
        <v/>
      </c>
      <c r="O56" s="36"/>
      <c r="P56" s="34"/>
    </row>
    <row r="57" spans="1:16" x14ac:dyDescent="0.25">
      <c r="A57" s="33"/>
      <c r="B57" s="32" t="str">
        <f>IFERROR(VLOOKUP(A57,'TARIFS 12 2025'!B34:J556,9,FALSE),"")</f>
        <v/>
      </c>
      <c r="C57" s="36"/>
      <c r="D57" s="34"/>
      <c r="E57" s="33"/>
      <c r="F57" s="32"/>
      <c r="G57" s="36"/>
      <c r="H57" s="34"/>
      <c r="I57" s="33"/>
      <c r="J57" s="32" t="str">
        <f>IFERROR(VLOOKUP(I57,'TARIFS 12 2025'!B34:J522,9,FALSE),"")</f>
        <v/>
      </c>
      <c r="K57" s="36"/>
      <c r="L57" s="34"/>
      <c r="M57" s="33"/>
      <c r="N57" s="32"/>
      <c r="O57" s="36"/>
      <c r="P57" s="34"/>
    </row>
    <row r="58" spans="1:16" x14ac:dyDescent="0.25">
      <c r="A58" s="33"/>
      <c r="B58" s="32"/>
      <c r="C58" s="36"/>
      <c r="D58" s="34"/>
      <c r="E58" s="33"/>
      <c r="F58" s="32" t="str">
        <f>IFERROR(VLOOKUP(E58,'TARIFS 12 2025'!B35:J525,9,FALSE),"")</f>
        <v/>
      </c>
      <c r="G58" s="36"/>
      <c r="H58" s="34"/>
      <c r="I58" s="33"/>
      <c r="J58" s="32" t="str">
        <f>IFERROR(VLOOKUP(I58,'TARIFS 12 2025'!F35:N525,9,FALSE),"")</f>
        <v/>
      </c>
      <c r="K58" s="36"/>
      <c r="L58" s="34"/>
      <c r="M58" s="33"/>
      <c r="N58" s="32" t="str">
        <f>IFERROR(VLOOKUP(M58,'TARIFS 12 2025'!J35:R525,9,FALSE),"")</f>
        <v/>
      </c>
      <c r="O58" s="36"/>
      <c r="P58" s="34"/>
    </row>
    <row r="59" spans="1:16" x14ac:dyDescent="0.25">
      <c r="A59" s="33"/>
      <c r="B59" s="32"/>
      <c r="C59" s="36"/>
      <c r="D59" s="34"/>
      <c r="E59" s="33"/>
      <c r="F59" s="32" t="str">
        <f>IFERROR(VLOOKUP(E59,'TARIFS 12 2025'!B36:J526,9,FALSE),"")</f>
        <v/>
      </c>
      <c r="G59" s="36"/>
      <c r="H59" s="34"/>
      <c r="I59" s="33"/>
      <c r="J59" s="32" t="str">
        <f>IFERROR(VLOOKUP(I59,'TARIFS 12 2025'!F36:N526,9,FALSE),"")</f>
        <v/>
      </c>
      <c r="K59" s="36"/>
      <c r="L59" s="34"/>
      <c r="M59" s="33"/>
      <c r="N59" s="32" t="str">
        <f>IFERROR(VLOOKUP(M59,'TARIFS 12 2025'!J36:R526,9,FALSE),"")</f>
        <v/>
      </c>
      <c r="O59" s="36"/>
      <c r="P59" s="34"/>
    </row>
    <row r="60" spans="1:16" x14ac:dyDescent="0.25">
      <c r="A60" s="24"/>
      <c r="D60" s="25"/>
      <c r="E60" s="24"/>
      <c r="H60" s="25"/>
      <c r="I60" s="24"/>
      <c r="L60" s="25"/>
      <c r="M60" s="24"/>
      <c r="P60" s="25"/>
    </row>
    <row r="61" spans="1:16" x14ac:dyDescent="0.25">
      <c r="A61" s="24"/>
      <c r="C61" t="s">
        <v>1033</v>
      </c>
      <c r="D61" s="26">
        <f>+SUM(D48:D59)</f>
        <v>2.38</v>
      </c>
      <c r="E61" s="24"/>
      <c r="G61" t="s">
        <v>1039</v>
      </c>
      <c r="H61" s="26">
        <f>+SUM(H48:H59)</f>
        <v>55.692300000000003</v>
      </c>
      <c r="I61" s="24"/>
      <c r="K61" t="s">
        <v>949</v>
      </c>
      <c r="L61" s="26">
        <f>+SUM(L48:L59)</f>
        <v>8.2548000000000012</v>
      </c>
      <c r="M61" s="24"/>
      <c r="O61" t="s">
        <v>1040</v>
      </c>
      <c r="P61" s="26">
        <f>+SUM(P48:P59)</f>
        <v>17.274062499999999</v>
      </c>
    </row>
    <row r="62" spans="1:16" x14ac:dyDescent="0.25">
      <c r="A62" s="24"/>
      <c r="C62" t="s">
        <v>939</v>
      </c>
      <c r="D62" s="27">
        <f>+D61</f>
        <v>2.38</v>
      </c>
      <c r="E62" s="24"/>
      <c r="G62" t="s">
        <v>939</v>
      </c>
      <c r="H62" s="27">
        <f>+H61/22.92</f>
        <v>2.4298560209424083</v>
      </c>
      <c r="I62" s="24"/>
      <c r="K62" t="s">
        <v>939</v>
      </c>
      <c r="L62" s="27">
        <f>+L61/1.255</f>
        <v>6.5775298804780888</v>
      </c>
      <c r="M62" s="24"/>
      <c r="O62" t="s">
        <v>939</v>
      </c>
      <c r="P62" s="27">
        <f>P61/10.75</f>
        <v>1.6068895348837209</v>
      </c>
    </row>
    <row r="63" spans="1:16" x14ac:dyDescent="0.25">
      <c r="A63" s="24"/>
      <c r="D63" s="25"/>
      <c r="E63" s="24"/>
      <c r="H63" s="25"/>
      <c r="I63" s="24"/>
      <c r="L63" s="25"/>
      <c r="M63" s="24"/>
      <c r="P63" s="25"/>
    </row>
    <row r="64" spans="1:16" x14ac:dyDescent="0.25">
      <c r="A64" s="24"/>
      <c r="D64" s="27"/>
      <c r="E64" s="24"/>
      <c r="H64" s="27"/>
      <c r="I64" s="24"/>
      <c r="L64" s="27"/>
      <c r="M64" s="24"/>
      <c r="P64" s="83"/>
    </row>
    <row r="65" spans="1:16" ht="15.75" x14ac:dyDescent="0.25">
      <c r="A65" s="24"/>
      <c r="D65" s="31"/>
      <c r="E65" s="24"/>
      <c r="H65" s="31"/>
      <c r="I65" s="24"/>
      <c r="L65" s="31"/>
      <c r="M65" s="24"/>
      <c r="P65" s="31"/>
    </row>
    <row r="66" spans="1:16" ht="15.75" thickBot="1" x14ac:dyDescent="0.3">
      <c r="A66" s="28"/>
      <c r="B66" s="29"/>
      <c r="C66" s="29"/>
      <c r="D66" s="30"/>
      <c r="E66" s="28"/>
      <c r="F66" s="29"/>
      <c r="G66" s="29"/>
      <c r="H66" s="30"/>
      <c r="I66" s="28"/>
      <c r="J66" s="29"/>
      <c r="K66" s="29"/>
      <c r="L66" s="30"/>
      <c r="M66" s="28"/>
      <c r="N66" s="29"/>
      <c r="O66" s="29"/>
      <c r="P66" s="30"/>
    </row>
  </sheetData>
  <mergeCells count="12">
    <mergeCell ref="A46:D46"/>
    <mergeCell ref="E46:H46"/>
    <mergeCell ref="I46:L46"/>
    <mergeCell ref="M46:P46"/>
    <mergeCell ref="A2:D2"/>
    <mergeCell ref="E2:H2"/>
    <mergeCell ref="I2:L2"/>
    <mergeCell ref="M2:P2"/>
    <mergeCell ref="A24:D24"/>
    <mergeCell ref="E24:H24"/>
    <mergeCell ref="I24:L24"/>
    <mergeCell ref="M24:P24"/>
  </mergeCells>
  <conditionalFormatting sqref="D21">
    <cfRule type="cellIs" dxfId="83" priority="36" operator="lessThan">
      <formula>$B$1/2</formula>
    </cfRule>
    <cfRule type="cellIs" dxfId="82" priority="35" operator="between">
      <formula>$B$1/2</formula>
      <formula>$B$1</formula>
    </cfRule>
    <cfRule type="cellIs" dxfId="81" priority="34" operator="greaterThan">
      <formula>$B$1</formula>
    </cfRule>
  </conditionalFormatting>
  <conditionalFormatting sqref="D43">
    <cfRule type="cellIs" dxfId="80" priority="24" operator="lessThan">
      <formula>$B$1/2</formula>
    </cfRule>
    <cfRule type="cellIs" dxfId="79" priority="23" operator="between">
      <formula>$B$1/2</formula>
      <formula>$B$1</formula>
    </cfRule>
    <cfRule type="cellIs" dxfId="78" priority="22" operator="greaterThan">
      <formula>$B$1</formula>
    </cfRule>
  </conditionalFormatting>
  <conditionalFormatting sqref="D65">
    <cfRule type="cellIs" dxfId="77" priority="10" operator="greaterThan">
      <formula>$B$1</formula>
    </cfRule>
    <cfRule type="cellIs" dxfId="76" priority="11" operator="between">
      <formula>$B$1/2</formula>
      <formula>$B$1</formula>
    </cfRule>
    <cfRule type="cellIs" dxfId="75" priority="12" operator="lessThan">
      <formula>$B$1/2</formula>
    </cfRule>
  </conditionalFormatting>
  <conditionalFormatting sqref="H21">
    <cfRule type="cellIs" dxfId="74" priority="33" operator="lessThan">
      <formula>$B$1/2</formula>
    </cfRule>
    <cfRule type="cellIs" dxfId="73" priority="32" operator="between">
      <formula>$B$1/2</formula>
      <formula>$B$1</formula>
    </cfRule>
    <cfRule type="cellIs" dxfId="72" priority="31" operator="greaterThan">
      <formula>$B$1</formula>
    </cfRule>
  </conditionalFormatting>
  <conditionalFormatting sqref="H43">
    <cfRule type="cellIs" dxfId="71" priority="19" operator="greaterThan">
      <formula>$B$1</formula>
    </cfRule>
    <cfRule type="cellIs" dxfId="70" priority="20" operator="between">
      <formula>$B$1/2</formula>
      <formula>$B$1</formula>
    </cfRule>
    <cfRule type="cellIs" dxfId="69" priority="21" operator="lessThan">
      <formula>$B$1/2</formula>
    </cfRule>
  </conditionalFormatting>
  <conditionalFormatting sqref="H65">
    <cfRule type="cellIs" dxfId="68" priority="7" operator="greaterThan">
      <formula>$B$1</formula>
    </cfRule>
    <cfRule type="cellIs" dxfId="67" priority="9" operator="lessThan">
      <formula>$B$1/2</formula>
    </cfRule>
    <cfRule type="cellIs" dxfId="66" priority="8" operator="between">
      <formula>$B$1/2</formula>
      <formula>$B$1</formula>
    </cfRule>
  </conditionalFormatting>
  <conditionalFormatting sqref="L21">
    <cfRule type="cellIs" dxfId="65" priority="28" operator="greaterThan">
      <formula>$B$1</formula>
    </cfRule>
    <cfRule type="cellIs" dxfId="64" priority="29" operator="between">
      <formula>$B$1/2</formula>
      <formula>$B$1</formula>
    </cfRule>
    <cfRule type="cellIs" dxfId="63" priority="30" operator="lessThan">
      <formula>$B$1/2</formula>
    </cfRule>
  </conditionalFormatting>
  <conditionalFormatting sqref="L43">
    <cfRule type="cellIs" dxfId="62" priority="18" operator="lessThan">
      <formula>$B$1/2</formula>
    </cfRule>
    <cfRule type="cellIs" dxfId="61" priority="17" operator="between">
      <formula>$B$1/2</formula>
      <formula>$B$1</formula>
    </cfRule>
    <cfRule type="cellIs" dxfId="60" priority="16" operator="greaterThan">
      <formula>$B$1</formula>
    </cfRule>
  </conditionalFormatting>
  <conditionalFormatting sqref="L65">
    <cfRule type="cellIs" dxfId="59" priority="4" operator="greaterThan">
      <formula>$B$1</formula>
    </cfRule>
    <cfRule type="cellIs" dxfId="58" priority="5" operator="between">
      <formula>$B$1/2</formula>
      <formula>$B$1</formula>
    </cfRule>
    <cfRule type="cellIs" dxfId="57" priority="6" operator="lessThan">
      <formula>$B$1/2</formula>
    </cfRule>
  </conditionalFormatting>
  <conditionalFormatting sqref="P21">
    <cfRule type="cellIs" dxfId="56" priority="25" operator="greaterThan">
      <formula>$B$1</formula>
    </cfRule>
    <cfRule type="cellIs" dxfId="55" priority="26" operator="between">
      <formula>$B$1/2</formula>
      <formula>$B$1</formula>
    </cfRule>
    <cfRule type="cellIs" dxfId="54" priority="27" operator="lessThan">
      <formula>$B$1/2</formula>
    </cfRule>
  </conditionalFormatting>
  <conditionalFormatting sqref="P43">
    <cfRule type="cellIs" dxfId="53" priority="15" operator="lessThan">
      <formula>$B$1/2</formula>
    </cfRule>
    <cfRule type="cellIs" dxfId="52" priority="14" operator="between">
      <formula>$B$1/2</formula>
      <formula>$B$1</formula>
    </cfRule>
    <cfRule type="cellIs" dxfId="51" priority="13" operator="greaterThan">
      <formula>$B$1</formula>
    </cfRule>
  </conditionalFormatting>
  <conditionalFormatting sqref="P65">
    <cfRule type="cellIs" dxfId="50" priority="2" operator="between">
      <formula>$B$1/2</formula>
      <formula>$B$1</formula>
    </cfRule>
    <cfRule type="cellIs" dxfId="49" priority="3" operator="lessThan">
      <formula>$B$1/2</formula>
    </cfRule>
    <cfRule type="cellIs" dxfId="48" priority="1" operator="greaterThan">
      <formula>$B$1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061BB5-8154-46B2-9F15-96F20028B193}">
          <x14:formula1>
            <xm:f>'TARIFS 12 2025'!$B:$B</xm:f>
          </x14:formula1>
          <xm:sqref>A4:A15 M26:M37 I26:I37 A26:A37 M4:M15 I4:I15 E4:E15 M48:M59 I48:I59 E48:E59 A48:A59 E26:E37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C797-967B-4056-AFD3-DB26BD0EEDFF}">
  <sheetPr>
    <tabColor theme="9" tint="0.59999389629810485"/>
  </sheetPr>
  <dimension ref="A1:P44"/>
  <sheetViews>
    <sheetView topLeftCell="A2" zoomScale="90" zoomScaleNormal="90" workbookViewId="0">
      <selection activeCell="M19" sqref="M19"/>
    </sheetView>
  </sheetViews>
  <sheetFormatPr baseColWidth="10" defaultColWidth="10.7109375" defaultRowHeight="15" x14ac:dyDescent="0.25"/>
  <cols>
    <col min="1" max="1" width="33.7109375" customWidth="1"/>
    <col min="4" max="4" width="11.42578125" customWidth="1"/>
    <col min="5" max="5" width="33.7109375" customWidth="1"/>
    <col min="9" max="9" width="33.7109375" customWidth="1"/>
    <col min="13" max="13" width="33.7109375" customWidth="1"/>
  </cols>
  <sheetData>
    <row r="1" spans="1:16" ht="15.75" thickBot="1" x14ac:dyDescent="0.3">
      <c r="A1" s="39" t="s">
        <v>928</v>
      </c>
      <c r="B1" s="40">
        <v>4.5</v>
      </c>
    </row>
    <row r="2" spans="1:16" ht="22.5" customHeight="1" thickBot="1" x14ac:dyDescent="0.3">
      <c r="A2" s="174" t="s">
        <v>982</v>
      </c>
      <c r="B2" s="175"/>
      <c r="C2" s="175"/>
      <c r="D2" s="176"/>
      <c r="E2" s="174" t="s">
        <v>1041</v>
      </c>
      <c r="F2" s="175"/>
      <c r="G2" s="175"/>
      <c r="H2" s="176"/>
      <c r="I2" s="174" t="s">
        <v>1042</v>
      </c>
      <c r="J2" s="175"/>
      <c r="K2" s="175"/>
      <c r="L2" s="176"/>
      <c r="M2" s="174" t="s">
        <v>1043</v>
      </c>
      <c r="N2" s="175"/>
      <c r="O2" s="175"/>
      <c r="P2" s="176"/>
    </row>
    <row r="3" spans="1:16" x14ac:dyDescent="0.25">
      <c r="A3" s="37"/>
      <c r="B3" s="6" t="s">
        <v>933</v>
      </c>
      <c r="C3" s="6" t="s">
        <v>934</v>
      </c>
      <c r="D3" s="38"/>
      <c r="E3" s="37"/>
      <c r="F3" s="6" t="s">
        <v>933</v>
      </c>
      <c r="G3" s="6" t="s">
        <v>934</v>
      </c>
      <c r="H3" s="38"/>
      <c r="I3" s="37"/>
      <c r="J3" s="6" t="s">
        <v>933</v>
      </c>
      <c r="K3" s="6" t="s">
        <v>934</v>
      </c>
      <c r="L3" s="38"/>
      <c r="M3" s="37"/>
      <c r="N3" s="6" t="s">
        <v>933</v>
      </c>
      <c r="O3" s="6" t="s">
        <v>934</v>
      </c>
      <c r="P3" s="38"/>
    </row>
    <row r="4" spans="1:16" x14ac:dyDescent="0.25">
      <c r="A4" s="33" t="s">
        <v>419</v>
      </c>
      <c r="B4" s="32">
        <f>IFERROR(VLOOKUP(A4,'TARIFS 12 2025'!B3:J461,9,FALSE),"")</f>
        <v>0.79</v>
      </c>
      <c r="C4" s="36">
        <v>0.88400000000000001</v>
      </c>
      <c r="D4" s="34">
        <f>+C4*B4</f>
        <v>0.69836000000000009</v>
      </c>
      <c r="E4" s="33" t="s">
        <v>540</v>
      </c>
      <c r="F4" s="32">
        <f>IFERROR(VLOOKUP(E4,'TARIFS 12 2025'!B3:J466,9,FALSE),"")</f>
        <v>1.2301507936507937E-2</v>
      </c>
      <c r="G4" s="36">
        <v>1</v>
      </c>
      <c r="H4" s="34">
        <f>+G4*F4</f>
        <v>1.2301507936507937E-2</v>
      </c>
      <c r="I4" s="33" t="s">
        <v>854</v>
      </c>
      <c r="J4" s="32">
        <f>IFERROR(VLOOKUP(I4,'TARIFS 12 2025'!B3:J502,9,FALSE),"")</f>
        <v>0.86</v>
      </c>
      <c r="K4" s="36"/>
      <c r="L4" s="34">
        <f>+K4*J4</f>
        <v>0</v>
      </c>
      <c r="M4" s="33" t="s">
        <v>204</v>
      </c>
      <c r="N4" s="32">
        <f>IFERROR(VLOOKUP(M4,'TARIFS 12 2025'!B3:J510,9,FALSE),"")</f>
        <v>5.5</v>
      </c>
      <c r="O4" s="36">
        <v>0.75</v>
      </c>
      <c r="P4" s="34">
        <f>+O4*N4</f>
        <v>4.125</v>
      </c>
    </row>
    <row r="5" spans="1:16" x14ac:dyDescent="0.25">
      <c r="A5" s="33" t="s">
        <v>243</v>
      </c>
      <c r="B5" s="32">
        <f>IFERROR(VLOOKUP(A5,'TARIFS 12 2025'!B4:J461,9,FALSE),"")</f>
        <v>3.92</v>
      </c>
      <c r="C5" s="36">
        <v>0.221</v>
      </c>
      <c r="D5" s="34">
        <f t="shared" ref="D5:D8" si="0">+C5*B5</f>
        <v>0.86631999999999998</v>
      </c>
      <c r="E5" s="33" t="s">
        <v>249</v>
      </c>
      <c r="F5" s="32">
        <f>IFERROR(VLOOKUP(E5,'TARIFS 12 2025'!B3:J497,9,FALSE),"")</f>
        <v>1.9675</v>
      </c>
      <c r="G5" s="36">
        <v>6.5000000000000002E-2</v>
      </c>
      <c r="H5" s="34">
        <f t="shared" ref="H5:H7" si="1">+G5*F5</f>
        <v>0.12788750000000002</v>
      </c>
      <c r="I5" s="33" t="s">
        <v>318</v>
      </c>
      <c r="J5" s="32">
        <f>IFERROR(VLOOKUP(I5,'TARIFS 12 2025'!B4:J503,9,FALSE),"")</f>
        <v>1.05</v>
      </c>
      <c r="K5" s="36"/>
      <c r="L5" s="34">
        <f t="shared" ref="L5:L10" si="2">+K5*J5</f>
        <v>0</v>
      </c>
      <c r="M5" s="33" t="s">
        <v>857</v>
      </c>
      <c r="N5" s="32">
        <f>IFERROR(VLOOKUP(M5,'TARIFS 12 2025'!B4:J511,9,FALSE),"")</f>
        <v>1.1100000000000001</v>
      </c>
      <c r="O5" s="36">
        <v>0.5</v>
      </c>
      <c r="P5" s="34">
        <f>+O5*N5</f>
        <v>0.55500000000000005</v>
      </c>
    </row>
    <row r="6" spans="1:16" x14ac:dyDescent="0.25">
      <c r="A6" s="33" t="s">
        <v>854</v>
      </c>
      <c r="B6" s="32">
        <f>IFERROR(VLOOKUP(A6,'TARIFS 12 2025'!B5:J462,9,FALSE),"")</f>
        <v>0.86</v>
      </c>
      <c r="C6" s="36">
        <v>0.221</v>
      </c>
      <c r="D6" s="34">
        <f t="shared" si="0"/>
        <v>0.19006000000000001</v>
      </c>
      <c r="E6" s="33" t="s">
        <v>339</v>
      </c>
      <c r="F6" s="32">
        <f>IFERROR(VLOOKUP(E6,'TARIFS 12 2025'!B5:J468,9,FALSE),"")</f>
        <v>2.38</v>
      </c>
      <c r="G6" s="36">
        <v>0.01</v>
      </c>
      <c r="H6" s="34">
        <f t="shared" si="1"/>
        <v>2.3799999999999998E-2</v>
      </c>
      <c r="I6" s="33" t="s">
        <v>498</v>
      </c>
      <c r="J6" s="32">
        <v>2.72</v>
      </c>
      <c r="K6" s="36"/>
      <c r="L6" s="34">
        <f t="shared" si="2"/>
        <v>0</v>
      </c>
      <c r="M6" s="33" t="s">
        <v>223</v>
      </c>
      <c r="N6" s="32">
        <f>IFERROR(VLOOKUP(M6,'TARIFS 12 2025'!B5:J512,9,FALSE),"")</f>
        <v>12.78</v>
      </c>
      <c r="O6" s="36">
        <v>0.5</v>
      </c>
      <c r="P6" s="34">
        <f>+O6*N6</f>
        <v>6.39</v>
      </c>
    </row>
    <row r="7" spans="1:16" x14ac:dyDescent="0.25">
      <c r="A7" s="33" t="s">
        <v>498</v>
      </c>
      <c r="B7" s="32">
        <f>IFERROR(VLOOKUP(A7,'TARIFS 12 2025'!B6:J463,9,FALSE),"")</f>
        <v>2.72</v>
      </c>
      <c r="C7" s="36">
        <v>0.17699999999999999</v>
      </c>
      <c r="D7" s="34">
        <f t="shared" si="0"/>
        <v>0.48144000000000003</v>
      </c>
      <c r="E7" s="33" t="s">
        <v>1044</v>
      </c>
      <c r="F7" s="32">
        <v>0.02</v>
      </c>
      <c r="G7" s="36">
        <v>1</v>
      </c>
      <c r="H7" s="34">
        <f t="shared" si="1"/>
        <v>0.02</v>
      </c>
      <c r="I7" s="33"/>
      <c r="J7" s="32" t="str">
        <f>IFERROR(VLOOKUP(I7,'TARIFS 12 2025'!B6:J505,9,FALSE),"")</f>
        <v/>
      </c>
      <c r="K7" s="36"/>
      <c r="L7" s="34" t="e">
        <f t="shared" si="2"/>
        <v>#VALUE!</v>
      </c>
      <c r="M7" s="33" t="s">
        <v>894</v>
      </c>
      <c r="N7" s="32">
        <f>IFERROR(VLOOKUP(M7,'TARIFS 12 2025'!B6:J513,9,FALSE),"")</f>
        <v>8.6</v>
      </c>
      <c r="O7" s="36">
        <v>0.5</v>
      </c>
      <c r="P7" s="34">
        <f>+O7*N7</f>
        <v>4.3</v>
      </c>
    </row>
    <row r="8" spans="1:16" x14ac:dyDescent="0.25">
      <c r="A8" s="33" t="s">
        <v>671</v>
      </c>
      <c r="B8" s="32">
        <f>IFERROR(VLOOKUP(A8,'TARIFS 12 2025'!B7:J463,9,FALSE),"")</f>
        <v>3.09</v>
      </c>
      <c r="C8" s="36">
        <v>8.7999999999999995E-2</v>
      </c>
      <c r="D8" s="34">
        <f t="shared" si="0"/>
        <v>0.27192</v>
      </c>
      <c r="E8" s="33"/>
      <c r="F8" s="32" t="str">
        <f>IFERROR(VLOOKUP(E8,'TARIFS 12 2025'!B7:J472,9,FALSE),"")</f>
        <v/>
      </c>
      <c r="G8" s="36"/>
      <c r="H8" s="34"/>
      <c r="I8" s="33"/>
      <c r="J8" s="32" t="str">
        <f>IFERROR(VLOOKUP(I8,'TARIFS 12 2025'!B7:J506,9,FALSE),"")</f>
        <v/>
      </c>
      <c r="K8" s="36"/>
      <c r="L8" s="34" t="e">
        <f t="shared" si="2"/>
        <v>#VALUE!</v>
      </c>
      <c r="M8" s="33"/>
      <c r="N8" s="32" t="str">
        <f>IFERROR(VLOOKUP(M8,'TARIFS 12 2025'!B7:J514,9,FALSE),"")</f>
        <v/>
      </c>
      <c r="O8" s="36"/>
      <c r="P8" s="34"/>
    </row>
    <row r="9" spans="1:16" x14ac:dyDescent="0.25">
      <c r="A9" s="33"/>
      <c r="B9" s="32"/>
      <c r="C9" s="36"/>
      <c r="D9" s="34"/>
      <c r="E9" s="33"/>
      <c r="F9" s="32" t="str">
        <f>IFERROR(VLOOKUP(E9,'TARIFS 12 2025'!B8:J473,9,FALSE),"")</f>
        <v/>
      </c>
      <c r="G9" s="36"/>
      <c r="H9" s="34"/>
      <c r="I9" s="33"/>
      <c r="J9" s="32" t="str">
        <f>IFERROR(VLOOKUP(I9,'TARIFS 12 2025'!B8:J507,9,FALSE),"")</f>
        <v/>
      </c>
      <c r="K9" s="36"/>
      <c r="L9" s="34" t="e">
        <f t="shared" si="2"/>
        <v>#VALUE!</v>
      </c>
      <c r="M9" s="33"/>
      <c r="N9" s="32" t="str">
        <f>IFERROR(VLOOKUP(M9,'TARIFS 12 2025'!B8:J515,9,FALSE),"")</f>
        <v/>
      </c>
      <c r="O9" s="36"/>
      <c r="P9" s="34"/>
    </row>
    <row r="10" spans="1:16" x14ac:dyDescent="0.25">
      <c r="A10" s="33"/>
      <c r="B10" s="32"/>
      <c r="C10" s="36"/>
      <c r="D10" s="34"/>
      <c r="E10" s="33"/>
      <c r="F10" s="32" t="str">
        <f>IFERROR(VLOOKUP(E10,'TARIFS 12 2025'!B9:J474,9,FALSE),"")</f>
        <v/>
      </c>
      <c r="G10" s="36"/>
      <c r="H10" s="34"/>
      <c r="I10" s="33"/>
      <c r="J10" s="32" t="str">
        <f>IFERROR(VLOOKUP(I10,'TARIFS 12 2025'!B9:J508,9,FALSE),"")</f>
        <v/>
      </c>
      <c r="K10" s="36"/>
      <c r="L10" s="34" t="e">
        <f t="shared" si="2"/>
        <v>#VALUE!</v>
      </c>
      <c r="M10" s="33"/>
      <c r="N10" s="32" t="str">
        <f>IFERROR(VLOOKUP(M10,'TARIFS 12 2025'!B9:J516,9,FALSE),"")</f>
        <v/>
      </c>
      <c r="O10" s="36"/>
      <c r="P10" s="34"/>
    </row>
    <row r="11" spans="1:16" x14ac:dyDescent="0.25">
      <c r="A11" s="33"/>
      <c r="B11" s="32" t="str">
        <f>IFERROR(VLOOKUP(A11,'TARIFS 12 2025'!B10:J466,9,FALSE),"")</f>
        <v/>
      </c>
      <c r="C11" s="36"/>
      <c r="D11" s="34"/>
      <c r="E11" s="33"/>
      <c r="F11" s="32"/>
      <c r="G11" s="36"/>
      <c r="H11" s="34"/>
      <c r="I11" s="33"/>
      <c r="J11" s="32" t="str">
        <f>IFERROR(VLOOKUP(I11,'TARIFS 12 2025'!B10:J509,9,FALSE),"")</f>
        <v/>
      </c>
      <c r="K11" s="36"/>
      <c r="L11" s="34"/>
      <c r="M11" s="33"/>
      <c r="N11" s="32" t="str">
        <f>IFERROR(VLOOKUP(M11,'TARIFS 12 2025'!B10:J517,9,FALSE),"")</f>
        <v/>
      </c>
      <c r="O11" s="36"/>
      <c r="P11" s="34"/>
    </row>
    <row r="12" spans="1:16" x14ac:dyDescent="0.25">
      <c r="A12" s="33"/>
      <c r="B12" s="32" t="str">
        <f>IFERROR(VLOOKUP(A12,'TARIFS 12 2025'!B11:J469,9,FALSE),"")</f>
        <v/>
      </c>
      <c r="C12" s="36"/>
      <c r="D12" s="34"/>
      <c r="E12" s="33"/>
      <c r="F12" s="32"/>
      <c r="G12" s="36"/>
      <c r="H12" s="34"/>
      <c r="I12" s="33"/>
      <c r="J12" s="32" t="str">
        <f>IFERROR(VLOOKUP(I12,'TARIFS 12 2025'!B11:J510,9,FALSE),"")</f>
        <v/>
      </c>
      <c r="K12" s="36"/>
      <c r="L12" s="34"/>
      <c r="M12" s="33"/>
      <c r="N12" s="32" t="str">
        <f>IFERROR(VLOOKUP(M12,'TARIFS 12 2025'!B11:J518,9,FALSE),"")</f>
        <v/>
      </c>
      <c r="O12" s="36"/>
      <c r="P12" s="34"/>
    </row>
    <row r="13" spans="1:16" x14ac:dyDescent="0.25">
      <c r="A13" s="33"/>
      <c r="B13" s="32" t="str">
        <f>IFERROR(VLOOKUP(A13,'TARIFS 12 2025'!B12:J470,9,FALSE),"")</f>
        <v/>
      </c>
      <c r="C13" s="36"/>
      <c r="D13" s="34"/>
      <c r="E13" s="33"/>
      <c r="F13" s="32"/>
      <c r="G13" s="36"/>
      <c r="H13" s="34"/>
      <c r="I13" s="33"/>
      <c r="J13" s="32" t="str">
        <f>IFERROR(VLOOKUP(I13,'TARIFS 12 2025'!B12:J511,9,FALSE),"")</f>
        <v/>
      </c>
      <c r="K13" s="36"/>
      <c r="L13" s="34"/>
      <c r="M13" s="33"/>
      <c r="N13" s="32" t="str">
        <f>IFERROR(VLOOKUP(M13,'TARIFS 12 2025'!B12:J519,9,FALSE),"")</f>
        <v/>
      </c>
      <c r="O13" s="36"/>
      <c r="P13" s="34"/>
    </row>
    <row r="14" spans="1:16" x14ac:dyDescent="0.25">
      <c r="A14" s="33"/>
      <c r="B14" s="32" t="str">
        <f>IFERROR(VLOOKUP(A14,'TARIFS 12 2025'!B13:J471,9,FALSE),"")</f>
        <v/>
      </c>
      <c r="C14" s="36"/>
      <c r="D14" s="34"/>
      <c r="E14" s="33"/>
      <c r="F14" s="32"/>
      <c r="G14" s="36"/>
      <c r="H14" s="34"/>
      <c r="I14" s="33"/>
      <c r="J14" s="32" t="str">
        <f>IFERROR(VLOOKUP(I14,'TARIFS 12 2025'!B13:J512,9,FALSE),"")</f>
        <v/>
      </c>
      <c r="K14" s="36"/>
      <c r="L14" s="34"/>
      <c r="M14" s="33"/>
      <c r="N14" s="32" t="str">
        <f>IFERROR(VLOOKUP(M14,'TARIFS 12 2025'!B13:J520,9,FALSE),"")</f>
        <v/>
      </c>
      <c r="O14" s="36"/>
      <c r="P14" s="34"/>
    </row>
    <row r="15" spans="1:16" x14ac:dyDescent="0.25">
      <c r="A15" s="33"/>
      <c r="B15" s="32"/>
      <c r="C15" s="36"/>
      <c r="D15" s="34"/>
      <c r="E15" s="33"/>
      <c r="F15" s="32"/>
      <c r="G15" s="36"/>
      <c r="H15" s="34"/>
      <c r="I15" s="33"/>
      <c r="J15" s="32" t="str">
        <f>IFERROR(VLOOKUP(I15,'TARIFS 12 2025'!B14:J513,9,FALSE),"")</f>
        <v/>
      </c>
      <c r="K15" s="36"/>
      <c r="L15" s="34"/>
      <c r="M15" s="33"/>
      <c r="N15" s="32" t="str">
        <f>IFERROR(VLOOKUP(M15,'TARIFS 12 2025'!B14:J521,9,FALSE),"")</f>
        <v/>
      </c>
      <c r="O15" s="36"/>
      <c r="P15" s="34"/>
    </row>
    <row r="16" spans="1:16" x14ac:dyDescent="0.25">
      <c r="A16" s="24"/>
      <c r="D16" s="25"/>
      <c r="E16" s="24"/>
      <c r="H16" s="25"/>
      <c r="I16" s="24"/>
      <c r="L16" s="25"/>
      <c r="M16" s="24"/>
      <c r="P16" s="25"/>
    </row>
    <row r="17" spans="1:16" x14ac:dyDescent="0.25">
      <c r="A17" s="24"/>
      <c r="C17" t="s">
        <v>939</v>
      </c>
      <c r="D17" s="26">
        <f>+SUM(D4:D15)</f>
        <v>2.5081000000000002</v>
      </c>
      <c r="E17" s="24"/>
      <c r="G17" t="s">
        <v>939</v>
      </c>
      <c r="H17" s="26">
        <f>+SUM(H4:H15)</f>
        <v>0.18398900793650794</v>
      </c>
      <c r="I17" s="24"/>
      <c r="K17" t="s">
        <v>981</v>
      </c>
      <c r="L17" s="26" t="e">
        <f>+SUM(L4:L15)</f>
        <v>#VALUE!</v>
      </c>
      <c r="M17" s="24"/>
      <c r="O17" t="s">
        <v>1045</v>
      </c>
      <c r="P17" s="26">
        <f>+SUM(P4:P15)</f>
        <v>15.370000000000001</v>
      </c>
    </row>
    <row r="18" spans="1:16" x14ac:dyDescent="0.25">
      <c r="A18" s="24"/>
      <c r="C18" t="s">
        <v>939</v>
      </c>
      <c r="D18" s="27">
        <f>+D17/8</f>
        <v>0.31351250000000003</v>
      </c>
      <c r="E18" s="24"/>
      <c r="G18" t="s">
        <v>939</v>
      </c>
      <c r="H18" s="27">
        <f>+H17</f>
        <v>0.18398900793650794</v>
      </c>
      <c r="I18" s="24"/>
      <c r="K18" t="s">
        <v>939</v>
      </c>
      <c r="L18" s="27" t="e">
        <f>+L17/50</f>
        <v>#VALUE!</v>
      </c>
      <c r="M18" s="24"/>
      <c r="O18" t="s">
        <v>939</v>
      </c>
      <c r="P18" s="27">
        <f>+P17/2.25*0.05</f>
        <v>0.34155555555555561</v>
      </c>
    </row>
    <row r="19" spans="1:16" x14ac:dyDescent="0.25">
      <c r="A19" s="24"/>
      <c r="D19" s="25"/>
      <c r="E19" s="24"/>
      <c r="H19" s="25"/>
      <c r="I19" s="24"/>
      <c r="L19" s="25"/>
      <c r="M19" s="24"/>
      <c r="P19" s="25"/>
    </row>
    <row r="20" spans="1:16" x14ac:dyDescent="0.25">
      <c r="A20" s="24"/>
      <c r="C20" t="s">
        <v>941</v>
      </c>
      <c r="D20" s="27">
        <v>1.84</v>
      </c>
      <c r="E20" s="24"/>
      <c r="G20" t="s">
        <v>941</v>
      </c>
      <c r="H20" s="27">
        <f>2.7*0.945</f>
        <v>2.5514999999999999</v>
      </c>
      <c r="I20" s="24"/>
      <c r="K20" t="s">
        <v>941</v>
      </c>
      <c r="L20" s="27">
        <v>1.323</v>
      </c>
      <c r="M20" s="24"/>
      <c r="N20">
        <v>1.83</v>
      </c>
      <c r="O20" t="s">
        <v>941</v>
      </c>
      <c r="P20" s="27">
        <f>+N20*0.945</f>
        <v>1.7293499999999999</v>
      </c>
    </row>
    <row r="21" spans="1:16" ht="15.75" x14ac:dyDescent="0.25">
      <c r="A21" s="24"/>
      <c r="C21" t="s">
        <v>942</v>
      </c>
      <c r="D21" s="31">
        <f>+D20/D18</f>
        <v>5.8689844902515844</v>
      </c>
      <c r="E21" s="24"/>
      <c r="G21" t="s">
        <v>942</v>
      </c>
      <c r="H21" s="31">
        <f>+H20/H18</f>
        <v>13.867676273793961</v>
      </c>
      <c r="I21" s="24"/>
      <c r="K21" t="s">
        <v>942</v>
      </c>
      <c r="L21" s="31" t="e">
        <f>+L20/L18</f>
        <v>#VALUE!</v>
      </c>
      <c r="M21" s="24"/>
      <c r="O21" t="s">
        <v>942</v>
      </c>
      <c r="P21" s="31">
        <f>+P20/P18</f>
        <v>5.0631587508132716</v>
      </c>
    </row>
    <row r="22" spans="1:16" ht="15.75" thickBot="1" x14ac:dyDescent="0.3">
      <c r="A22" s="28"/>
      <c r="B22" s="29"/>
      <c r="C22" s="29"/>
      <c r="D22" s="30"/>
      <c r="E22" s="28"/>
      <c r="F22" s="29"/>
      <c r="G22" s="29"/>
      <c r="H22" s="30"/>
      <c r="I22" s="28"/>
      <c r="J22" s="29"/>
      <c r="K22" s="29"/>
      <c r="L22" s="30"/>
      <c r="M22" s="28"/>
      <c r="N22" s="29"/>
      <c r="O22" s="29" t="s">
        <v>0</v>
      </c>
      <c r="P22" s="30">
        <f>+(P20-P18)*100/P20</f>
        <v>80.249483588888566</v>
      </c>
    </row>
    <row r="23" spans="1:16" ht="15.75" thickBot="1" x14ac:dyDescent="0.3"/>
    <row r="24" spans="1:16" ht="24.75" customHeight="1" thickBot="1" x14ac:dyDescent="0.3">
      <c r="A24" s="174"/>
      <c r="B24" s="175"/>
      <c r="C24" s="175"/>
      <c r="D24" s="176"/>
      <c r="E24" s="174"/>
      <c r="F24" s="175"/>
      <c r="G24" s="175"/>
      <c r="H24" s="176"/>
      <c r="I24" s="174"/>
      <c r="J24" s="175"/>
      <c r="K24" s="175"/>
      <c r="L24" s="176"/>
      <c r="M24" s="174"/>
      <c r="N24" s="175"/>
      <c r="O24" s="175"/>
      <c r="P24" s="176"/>
    </row>
    <row r="25" spans="1:16" x14ac:dyDescent="0.25">
      <c r="A25" s="37"/>
      <c r="B25" s="6" t="s">
        <v>933</v>
      </c>
      <c r="C25" s="6" t="s">
        <v>934</v>
      </c>
      <c r="D25" s="38"/>
      <c r="E25" s="37"/>
      <c r="F25" s="6" t="s">
        <v>933</v>
      </c>
      <c r="G25" s="6" t="s">
        <v>934</v>
      </c>
      <c r="H25" s="38"/>
      <c r="I25" s="37"/>
      <c r="J25" s="6" t="s">
        <v>933</v>
      </c>
      <c r="K25" s="6" t="s">
        <v>934</v>
      </c>
      <c r="L25" s="38"/>
      <c r="M25" s="37"/>
      <c r="N25" s="6" t="s">
        <v>933</v>
      </c>
      <c r="O25" s="6" t="s">
        <v>934</v>
      </c>
      <c r="P25" s="38"/>
    </row>
    <row r="26" spans="1:16" x14ac:dyDescent="0.25">
      <c r="A26" s="33"/>
      <c r="B26" s="32" t="str">
        <f>IFERROR(VLOOKUP(A26,'TARIFS 12 2025'!B3:J525,9,FALSE),"")</f>
        <v/>
      </c>
      <c r="C26" s="36"/>
      <c r="D26" s="34" t="e">
        <f>+C26*B26</f>
        <v>#VALUE!</v>
      </c>
      <c r="E26" s="33"/>
      <c r="F26" s="32" t="str">
        <f>IFERROR(VLOOKUP(E26,'TARIFS 12 2025'!B3:J493,9,FALSE),"")</f>
        <v/>
      </c>
      <c r="G26" s="36"/>
      <c r="H26" s="34" t="e">
        <f>+G26*F26</f>
        <v>#VALUE!</v>
      </c>
      <c r="I26" s="33"/>
      <c r="J26" s="32" t="str">
        <f>IFERROR(VLOOKUP(I26,'TARIFS 12 2025'!B3:J491,9,FALSE),"")</f>
        <v/>
      </c>
      <c r="K26" s="36"/>
      <c r="L26" s="34" t="e">
        <f>+K26*J26</f>
        <v>#VALUE!</v>
      </c>
      <c r="M26" s="33"/>
      <c r="N26" s="32" t="str">
        <f>IFERROR(VLOOKUP(M26,'TARIFS 12 2025'!B3:J501,9,FALSE),"")</f>
        <v/>
      </c>
      <c r="O26" s="36"/>
      <c r="P26" s="34" t="e">
        <f>+O26*N26</f>
        <v>#VALUE!</v>
      </c>
    </row>
    <row r="27" spans="1:16" x14ac:dyDescent="0.25">
      <c r="A27" s="33"/>
      <c r="B27" s="32" t="str">
        <f>IFERROR(VLOOKUP(A27,'TARIFS 12 2025'!B4:J526,9,FALSE),"")</f>
        <v/>
      </c>
      <c r="C27" s="36"/>
      <c r="D27" s="34" t="e">
        <f t="shared" ref="D27:D32" si="3">+C27*B27</f>
        <v>#VALUE!</v>
      </c>
      <c r="E27" s="33"/>
      <c r="F27" s="32" t="str">
        <f>IFERROR(VLOOKUP(E27,'TARIFS 12 2025'!B4:J494,9,FALSE),"")</f>
        <v/>
      </c>
      <c r="G27" s="36"/>
      <c r="H27" s="34" t="e">
        <f t="shared" ref="H27:H34" si="4">+G27*F27</f>
        <v>#VALUE!</v>
      </c>
      <c r="I27" s="33"/>
      <c r="J27" s="32" t="str">
        <f>IFERROR(VLOOKUP(I27,'TARIFS 12 2025'!B4:J492,9,FALSE),"")</f>
        <v/>
      </c>
      <c r="K27" s="36"/>
      <c r="L27" s="34" t="e">
        <f t="shared" ref="L27:L35" si="5">+K27*J27</f>
        <v>#VALUE!</v>
      </c>
      <c r="M27" s="33"/>
      <c r="N27" s="32" t="str">
        <f>IFERROR(VLOOKUP(M27,'TARIFS 12 2025'!B4:J502,9,FALSE),"")</f>
        <v/>
      </c>
      <c r="O27" s="36"/>
      <c r="P27" s="34" t="e">
        <f t="shared" ref="P27:P34" si="6">+O27*N27</f>
        <v>#VALUE!</v>
      </c>
    </row>
    <row r="28" spans="1:16" x14ac:dyDescent="0.25">
      <c r="A28" s="33"/>
      <c r="B28" s="32" t="str">
        <f>IFERROR(VLOOKUP(A28,'TARIFS 12 2025'!B5:J527,9,FALSE),"")</f>
        <v/>
      </c>
      <c r="C28" s="36"/>
      <c r="D28" s="34" t="e">
        <f t="shared" si="3"/>
        <v>#VALUE!</v>
      </c>
      <c r="E28" s="33"/>
      <c r="F28" s="32" t="str">
        <f>IFERROR(VLOOKUP(E28,'TARIFS 12 2025'!B5:J495,9,FALSE),"")</f>
        <v/>
      </c>
      <c r="G28" s="36"/>
      <c r="H28" s="34" t="e">
        <f t="shared" si="4"/>
        <v>#VALUE!</v>
      </c>
      <c r="I28" s="33"/>
      <c r="J28" s="32" t="str">
        <f>IFERROR(VLOOKUP(I28,'TARIFS 12 2025'!B5:J493,9,FALSE),"")</f>
        <v/>
      </c>
      <c r="K28" s="36"/>
      <c r="L28" s="34" t="e">
        <f t="shared" si="5"/>
        <v>#VALUE!</v>
      </c>
      <c r="M28" s="33"/>
      <c r="N28" s="32" t="str">
        <f>IFERROR(VLOOKUP(M28,'TARIFS 12 2025'!B5:J503,9,FALSE),"")</f>
        <v/>
      </c>
      <c r="O28" s="36"/>
      <c r="P28" s="34" t="e">
        <f t="shared" si="6"/>
        <v>#VALUE!</v>
      </c>
    </row>
    <row r="29" spans="1:16" x14ac:dyDescent="0.25">
      <c r="A29" s="33"/>
      <c r="B29" s="32" t="str">
        <f>IFERROR(VLOOKUP(A29,'TARIFS 12 2025'!B6:J528,9,FALSE),"")</f>
        <v/>
      </c>
      <c r="C29" s="36"/>
      <c r="D29" s="34" t="e">
        <f t="shared" si="3"/>
        <v>#VALUE!</v>
      </c>
      <c r="E29" s="33"/>
      <c r="F29" s="32" t="str">
        <f>IFERROR(VLOOKUP(E29,'TARIFS 12 2025'!B6:J496,9,FALSE),"")</f>
        <v/>
      </c>
      <c r="G29" s="36"/>
      <c r="H29" s="34" t="e">
        <f t="shared" si="4"/>
        <v>#VALUE!</v>
      </c>
      <c r="I29" s="33"/>
      <c r="J29" s="32" t="str">
        <f>IFERROR(VLOOKUP(I29,'TARIFS 12 2025'!B6:J494,9,FALSE),"")</f>
        <v/>
      </c>
      <c r="K29" s="36"/>
      <c r="L29" s="34" t="e">
        <f t="shared" si="5"/>
        <v>#VALUE!</v>
      </c>
      <c r="M29" s="33"/>
      <c r="N29" s="32" t="str">
        <f>IFERROR(VLOOKUP(M29,'TARIFS 12 2025'!B6:J504,9,FALSE),"")</f>
        <v/>
      </c>
      <c r="O29" s="36"/>
      <c r="P29" s="34" t="e">
        <f t="shared" si="6"/>
        <v>#VALUE!</v>
      </c>
    </row>
    <row r="30" spans="1:16" x14ac:dyDescent="0.25">
      <c r="A30" s="33"/>
      <c r="B30" s="32" t="str">
        <f>IFERROR(VLOOKUP(A30,'TARIFS 12 2025'!B7:J529,9,FALSE),"")</f>
        <v/>
      </c>
      <c r="C30" s="36"/>
      <c r="D30" s="34" t="e">
        <f t="shared" si="3"/>
        <v>#VALUE!</v>
      </c>
      <c r="E30" s="33"/>
      <c r="F30" s="32" t="str">
        <f>IFERROR(VLOOKUP(E30,'TARIFS 12 2025'!B7:J497,9,FALSE),"")</f>
        <v/>
      </c>
      <c r="G30" s="36"/>
      <c r="H30" s="34" t="e">
        <f t="shared" si="4"/>
        <v>#VALUE!</v>
      </c>
      <c r="I30" s="33"/>
      <c r="J30" s="32" t="str">
        <f>IFERROR(VLOOKUP(I30,'TARIFS 12 2025'!B7:J495,9,FALSE),"")</f>
        <v/>
      </c>
      <c r="K30" s="36"/>
      <c r="L30" s="34" t="e">
        <f t="shared" si="5"/>
        <v>#VALUE!</v>
      </c>
      <c r="M30" s="33"/>
      <c r="N30" s="32" t="str">
        <f>IFERROR(VLOOKUP(M30,'TARIFS 12 2025'!B7:J505,9,FALSE),"")</f>
        <v/>
      </c>
      <c r="O30" s="36"/>
      <c r="P30" s="34" t="e">
        <f t="shared" si="6"/>
        <v>#VALUE!</v>
      </c>
    </row>
    <row r="31" spans="1:16" x14ac:dyDescent="0.25">
      <c r="A31" s="33"/>
      <c r="B31" s="32" t="str">
        <f>IFERROR(VLOOKUP(A31,'TARIFS 12 2025'!B8:J530,9,FALSE),"")</f>
        <v/>
      </c>
      <c r="C31" s="36"/>
      <c r="D31" s="34" t="e">
        <f t="shared" si="3"/>
        <v>#VALUE!</v>
      </c>
      <c r="E31" s="33"/>
      <c r="F31" s="32" t="str">
        <f>IFERROR(VLOOKUP(E31,'TARIFS 12 2025'!B8:J498,9,FALSE),"")</f>
        <v/>
      </c>
      <c r="G31" s="36"/>
      <c r="H31" s="34" t="e">
        <f t="shared" si="4"/>
        <v>#VALUE!</v>
      </c>
      <c r="I31" s="33"/>
      <c r="J31" s="32" t="str">
        <f>IFERROR(VLOOKUP(I31,'TARIFS 12 2025'!B8:J496,9,FALSE),"")</f>
        <v/>
      </c>
      <c r="K31" s="36"/>
      <c r="L31" s="34" t="e">
        <f t="shared" si="5"/>
        <v>#VALUE!</v>
      </c>
      <c r="M31" s="33"/>
      <c r="N31" s="32" t="str">
        <f>IFERROR(VLOOKUP(M31,'TARIFS 12 2025'!B8:J506,9,FALSE),"")</f>
        <v/>
      </c>
      <c r="O31" s="36"/>
      <c r="P31" s="34" t="e">
        <f t="shared" si="6"/>
        <v>#VALUE!</v>
      </c>
    </row>
    <row r="32" spans="1:16" x14ac:dyDescent="0.25">
      <c r="A32" s="33"/>
      <c r="B32" s="32" t="str">
        <f>IFERROR(VLOOKUP(A32,'TARIFS 12 2025'!B9:J531,9,FALSE),"")</f>
        <v/>
      </c>
      <c r="C32" s="36"/>
      <c r="D32" s="34" t="e">
        <f t="shared" si="3"/>
        <v>#VALUE!</v>
      </c>
      <c r="E32" s="33"/>
      <c r="F32" s="32" t="str">
        <f>IFERROR(VLOOKUP(E32,'TARIFS 12 2025'!B9:J499,9,FALSE),"")</f>
        <v/>
      </c>
      <c r="G32" s="36"/>
      <c r="H32" s="34" t="e">
        <f t="shared" si="4"/>
        <v>#VALUE!</v>
      </c>
      <c r="I32" s="33"/>
      <c r="J32" s="32" t="str">
        <f>IFERROR(VLOOKUP(I32,'TARIFS 12 2025'!B9:J497,9,FALSE),"")</f>
        <v/>
      </c>
      <c r="K32" s="36"/>
      <c r="L32" s="34" t="e">
        <f t="shared" si="5"/>
        <v>#VALUE!</v>
      </c>
      <c r="M32" s="33"/>
      <c r="N32" s="32" t="str">
        <f>IFERROR(VLOOKUP(M32,'TARIFS 12 2025'!B9:J507,9,FALSE),"")</f>
        <v/>
      </c>
      <c r="O32" s="36"/>
      <c r="P32" s="34" t="e">
        <f t="shared" si="6"/>
        <v>#VALUE!</v>
      </c>
    </row>
    <row r="33" spans="1:16" x14ac:dyDescent="0.25">
      <c r="A33" s="33"/>
      <c r="B33" s="32" t="str">
        <f>IFERROR(VLOOKUP(A33,'TARIFS 12 2025'!B10:J532,9,FALSE),"")</f>
        <v/>
      </c>
      <c r="C33" s="36"/>
      <c r="D33" s="34"/>
      <c r="E33" s="33"/>
      <c r="F33" s="32" t="str">
        <f>IFERROR(VLOOKUP(E33,'TARIFS 12 2025'!B10:J500,9,FALSE),"")</f>
        <v/>
      </c>
      <c r="G33" s="36"/>
      <c r="H33" s="34" t="e">
        <f t="shared" si="4"/>
        <v>#VALUE!</v>
      </c>
      <c r="I33" s="33"/>
      <c r="J33" s="32" t="str">
        <f>IFERROR(VLOOKUP(I33,'TARIFS 12 2025'!B10:J498,9,FALSE),"")</f>
        <v/>
      </c>
      <c r="K33" s="36"/>
      <c r="L33" s="34" t="e">
        <f t="shared" si="5"/>
        <v>#VALUE!</v>
      </c>
      <c r="M33" s="33"/>
      <c r="N33" s="32" t="str">
        <f>IFERROR(VLOOKUP(M33,'TARIFS 12 2025'!B10:J508,9,FALSE),"")</f>
        <v/>
      </c>
      <c r="O33" s="36"/>
      <c r="P33" s="34" t="e">
        <f t="shared" si="6"/>
        <v>#VALUE!</v>
      </c>
    </row>
    <row r="34" spans="1:16" x14ac:dyDescent="0.25">
      <c r="A34" s="33"/>
      <c r="B34" s="32" t="str">
        <f>IFERROR(VLOOKUP(A34,'TARIFS 12 2025'!B11:J533,9,FALSE),"")</f>
        <v/>
      </c>
      <c r="C34" s="36"/>
      <c r="D34" s="34"/>
      <c r="E34" s="33"/>
      <c r="F34" s="32" t="str">
        <f>IFERROR(VLOOKUP(E34,'TARIFS 12 2025'!B11:J501,9,FALSE),"")</f>
        <v/>
      </c>
      <c r="G34" s="36"/>
      <c r="H34" s="34" t="e">
        <f t="shared" si="4"/>
        <v>#VALUE!</v>
      </c>
      <c r="I34" s="33"/>
      <c r="J34" s="32" t="str">
        <f>IFERROR(VLOOKUP(I34,'TARIFS 12 2025'!B11:J499,9,FALSE),"")</f>
        <v/>
      </c>
      <c r="K34" s="36"/>
      <c r="L34" s="34" t="e">
        <f t="shared" si="5"/>
        <v>#VALUE!</v>
      </c>
      <c r="M34" s="33"/>
      <c r="N34" s="32" t="str">
        <f>IFERROR(VLOOKUP(M34,'TARIFS 12 2025'!B11:J509,9,FALSE),"")</f>
        <v/>
      </c>
      <c r="O34" s="36"/>
      <c r="P34" s="34" t="e">
        <f t="shared" si="6"/>
        <v>#VALUE!</v>
      </c>
    </row>
    <row r="35" spans="1:16" x14ac:dyDescent="0.25">
      <c r="A35" s="33"/>
      <c r="B35" s="32" t="str">
        <f>IFERROR(VLOOKUP(A35,'TARIFS 12 2025'!B12:J534,9,FALSE),"")</f>
        <v/>
      </c>
      <c r="C35" s="36"/>
      <c r="D35" s="34"/>
      <c r="E35" s="33"/>
      <c r="F35" s="32"/>
      <c r="G35" s="36"/>
      <c r="H35" s="34"/>
      <c r="I35" s="33"/>
      <c r="J35" s="32" t="str">
        <f>IFERROR(VLOOKUP(I35,'TARIFS 12 2025'!B12:J500,9,FALSE),"")</f>
        <v/>
      </c>
      <c r="K35" s="36"/>
      <c r="L35" s="34" t="e">
        <f t="shared" si="5"/>
        <v>#VALUE!</v>
      </c>
      <c r="M35" s="33"/>
      <c r="N35" s="32"/>
      <c r="O35" s="36"/>
      <c r="P35" s="34"/>
    </row>
    <row r="36" spans="1:16" x14ac:dyDescent="0.25">
      <c r="A36" s="33"/>
      <c r="B36" s="32"/>
      <c r="C36" s="36"/>
      <c r="D36" s="34"/>
      <c r="E36" s="33"/>
      <c r="F36" s="32" t="str">
        <f>IFERROR(VLOOKUP(E36,'TARIFS 12 2025'!B13:J503,9,FALSE),"")</f>
        <v/>
      </c>
      <c r="G36" s="36"/>
      <c r="H36" s="34"/>
      <c r="I36" s="33"/>
      <c r="J36" s="32" t="str">
        <f>IFERROR(VLOOKUP(I36,'TARIFS 12 2025'!F13:N503,9,FALSE),"")</f>
        <v/>
      </c>
      <c r="K36" s="36"/>
      <c r="L36" s="34"/>
      <c r="M36" s="33"/>
      <c r="N36" s="32" t="str">
        <f>IFERROR(VLOOKUP(M36,'TARIFS 12 2025'!J13:R503,9,FALSE),"")</f>
        <v/>
      </c>
      <c r="O36" s="36"/>
      <c r="P36" s="34"/>
    </row>
    <row r="37" spans="1:16" x14ac:dyDescent="0.25">
      <c r="A37" s="33"/>
      <c r="B37" s="32"/>
      <c r="C37" s="36"/>
      <c r="D37" s="34"/>
      <c r="E37" s="33"/>
      <c r="F37" s="32" t="str">
        <f>IFERROR(VLOOKUP(E37,'TARIFS 12 2025'!B14:J504,9,FALSE),"")</f>
        <v/>
      </c>
      <c r="G37" s="36"/>
      <c r="H37" s="34"/>
      <c r="I37" s="33"/>
      <c r="J37" s="32" t="str">
        <f>IFERROR(VLOOKUP(I37,'TARIFS 12 2025'!F14:N504,9,FALSE),"")</f>
        <v/>
      </c>
      <c r="K37" s="36"/>
      <c r="L37" s="34"/>
      <c r="M37" s="33"/>
      <c r="N37" s="32" t="str">
        <f>IFERROR(VLOOKUP(M37,'TARIFS 12 2025'!J14:R504,9,FALSE),"")</f>
        <v/>
      </c>
      <c r="O37" s="36"/>
      <c r="P37" s="34"/>
    </row>
    <row r="38" spans="1:16" x14ac:dyDescent="0.25">
      <c r="A38" s="24"/>
      <c r="D38" s="25"/>
      <c r="E38" s="24"/>
      <c r="H38" s="25"/>
      <c r="I38" s="24"/>
      <c r="L38" s="25"/>
      <c r="M38" s="24"/>
      <c r="P38" s="25"/>
    </row>
    <row r="39" spans="1:16" x14ac:dyDescent="0.25">
      <c r="A39" s="24"/>
      <c r="C39" t="s">
        <v>947</v>
      </c>
      <c r="D39" s="26" t="e">
        <f>+SUM(D26:D37)</f>
        <v>#VALUE!</v>
      </c>
      <c r="E39" s="24"/>
      <c r="G39" t="s">
        <v>948</v>
      </c>
      <c r="H39" s="26" t="e">
        <f>+SUM(H26:H37)</f>
        <v>#VALUE!</v>
      </c>
      <c r="I39" s="24"/>
      <c r="K39" t="s">
        <v>949</v>
      </c>
      <c r="L39" s="26" t="e">
        <f>+SUM(L26:L37)</f>
        <v>#VALUE!</v>
      </c>
      <c r="M39" s="24"/>
      <c r="O39" t="s">
        <v>950</v>
      </c>
      <c r="P39" s="26" t="e">
        <f>+SUM(P26:P37)</f>
        <v>#VALUE!</v>
      </c>
    </row>
    <row r="40" spans="1:16" x14ac:dyDescent="0.25">
      <c r="A40" s="24"/>
      <c r="C40" t="s">
        <v>939</v>
      </c>
      <c r="D40" s="27" t="e">
        <f>+D39/25</f>
        <v>#VALUE!</v>
      </c>
      <c r="E40" s="24"/>
      <c r="G40" t="s">
        <v>939</v>
      </c>
      <c r="H40" s="27" t="e">
        <f>+H39/44.72</f>
        <v>#VALUE!</v>
      </c>
      <c r="I40" s="24"/>
      <c r="K40" t="s">
        <v>939</v>
      </c>
      <c r="L40" s="27" t="e">
        <f>+L39/56</f>
        <v>#VALUE!</v>
      </c>
      <c r="M40" s="24"/>
      <c r="O40" t="s">
        <v>939</v>
      </c>
      <c r="P40" s="27" t="e">
        <f>+P39/112</f>
        <v>#VALUE!</v>
      </c>
    </row>
    <row r="41" spans="1:16" x14ac:dyDescent="0.25">
      <c r="A41" s="24">
        <v>10750</v>
      </c>
      <c r="D41" s="25"/>
      <c r="E41" s="24"/>
      <c r="H41" s="25"/>
      <c r="I41" s="24"/>
      <c r="L41" s="25"/>
      <c r="M41" s="24"/>
      <c r="P41" s="25"/>
    </row>
    <row r="42" spans="1:16" x14ac:dyDescent="0.25">
      <c r="A42" s="24"/>
      <c r="C42" t="s">
        <v>941</v>
      </c>
      <c r="D42" s="27">
        <v>1.7955000000000001</v>
      </c>
      <c r="E42" s="24"/>
      <c r="G42" t="s">
        <v>941</v>
      </c>
      <c r="H42" s="27">
        <v>1.75</v>
      </c>
      <c r="I42" s="24"/>
      <c r="K42" t="s">
        <v>941</v>
      </c>
      <c r="L42" s="27">
        <v>0.99</v>
      </c>
      <c r="M42" s="24"/>
      <c r="O42" t="s">
        <v>941</v>
      </c>
      <c r="P42" s="83">
        <v>0.9</v>
      </c>
    </row>
    <row r="43" spans="1:16" ht="15.75" x14ac:dyDescent="0.25">
      <c r="A43" s="24"/>
      <c r="C43" t="s">
        <v>942</v>
      </c>
      <c r="D43" s="31" t="e">
        <f>+D42/D40</f>
        <v>#VALUE!</v>
      </c>
      <c r="E43" s="24"/>
      <c r="G43" t="s">
        <v>942</v>
      </c>
      <c r="H43" s="31" t="e">
        <f>+H42/H40</f>
        <v>#VALUE!</v>
      </c>
      <c r="I43" s="24"/>
      <c r="K43" t="s">
        <v>942</v>
      </c>
      <c r="L43" s="31" t="e">
        <f>+L42/L40</f>
        <v>#VALUE!</v>
      </c>
      <c r="M43" s="24"/>
      <c r="O43" t="s">
        <v>942</v>
      </c>
      <c r="P43" s="31" t="e">
        <f>+P42/P40</f>
        <v>#VALUE!</v>
      </c>
    </row>
    <row r="44" spans="1:16" ht="15.75" thickBot="1" x14ac:dyDescent="0.3">
      <c r="A44" s="28"/>
      <c r="B44" s="29"/>
      <c r="C44" s="29"/>
      <c r="D44" s="30"/>
      <c r="E44" s="28"/>
      <c r="F44" s="29"/>
      <c r="G44" s="29"/>
      <c r="H44" s="30"/>
      <c r="I44" s="28"/>
      <c r="J44" s="29"/>
      <c r="K44" s="29"/>
      <c r="L44" s="30"/>
      <c r="M44" s="28"/>
      <c r="N44" s="29"/>
      <c r="O44" s="29"/>
      <c r="P44" s="30"/>
    </row>
  </sheetData>
  <mergeCells count="8">
    <mergeCell ref="A2:D2"/>
    <mergeCell ref="E2:H2"/>
    <mergeCell ref="I2:L2"/>
    <mergeCell ref="M2:P2"/>
    <mergeCell ref="A24:D24"/>
    <mergeCell ref="E24:H24"/>
    <mergeCell ref="I24:L24"/>
    <mergeCell ref="M24:P24"/>
  </mergeCells>
  <conditionalFormatting sqref="D21">
    <cfRule type="cellIs" dxfId="47" priority="22" operator="greaterThan">
      <formula>$B$1</formula>
    </cfRule>
    <cfRule type="cellIs" dxfId="46" priority="23" operator="between">
      <formula>$B$1/2</formula>
      <formula>$B$1</formula>
    </cfRule>
    <cfRule type="cellIs" dxfId="45" priority="24" operator="lessThan">
      <formula>$B$1/2</formula>
    </cfRule>
  </conditionalFormatting>
  <conditionalFormatting sqref="D43">
    <cfRule type="cellIs" dxfId="44" priority="10" operator="greaterThan">
      <formula>$B$1</formula>
    </cfRule>
    <cfRule type="cellIs" dxfId="43" priority="11" operator="between">
      <formula>$B$1/2</formula>
      <formula>$B$1</formula>
    </cfRule>
    <cfRule type="cellIs" dxfId="42" priority="12" operator="lessThan">
      <formula>$B$1/2</formula>
    </cfRule>
  </conditionalFormatting>
  <conditionalFormatting sqref="H21">
    <cfRule type="cellIs" dxfId="41" priority="19" operator="greaterThan">
      <formula>$B$1</formula>
    </cfRule>
    <cfRule type="cellIs" dxfId="40" priority="20" operator="between">
      <formula>$B$1/2</formula>
      <formula>$B$1</formula>
    </cfRule>
    <cfRule type="cellIs" dxfId="39" priority="21" operator="lessThan">
      <formula>$B$1/2</formula>
    </cfRule>
  </conditionalFormatting>
  <conditionalFormatting sqref="H43">
    <cfRule type="cellIs" dxfId="38" priority="7" operator="greaterThan">
      <formula>$B$1</formula>
    </cfRule>
    <cfRule type="cellIs" dxfId="37" priority="8" operator="between">
      <formula>$B$1/2</formula>
      <formula>$B$1</formula>
    </cfRule>
    <cfRule type="cellIs" dxfId="36" priority="9" operator="lessThan">
      <formula>$B$1/2</formula>
    </cfRule>
  </conditionalFormatting>
  <conditionalFormatting sqref="L21">
    <cfRule type="cellIs" dxfId="35" priority="16" operator="greaterThan">
      <formula>$B$1</formula>
    </cfRule>
    <cfRule type="cellIs" dxfId="34" priority="17" operator="between">
      <formula>$B$1/2</formula>
      <formula>$B$1</formula>
    </cfRule>
    <cfRule type="cellIs" dxfId="33" priority="18" operator="lessThan">
      <formula>$B$1/2</formula>
    </cfRule>
  </conditionalFormatting>
  <conditionalFormatting sqref="L43">
    <cfRule type="cellIs" dxfId="32" priority="4" operator="greaterThan">
      <formula>$B$1</formula>
    </cfRule>
    <cfRule type="cellIs" dxfId="31" priority="5" operator="between">
      <formula>$B$1/2</formula>
      <formula>$B$1</formula>
    </cfRule>
    <cfRule type="cellIs" dxfId="30" priority="6" operator="lessThan">
      <formula>$B$1/2</formula>
    </cfRule>
  </conditionalFormatting>
  <conditionalFormatting sqref="P21">
    <cfRule type="cellIs" dxfId="29" priority="13" operator="greaterThan">
      <formula>$B$1</formula>
    </cfRule>
    <cfRule type="cellIs" dxfId="28" priority="14" operator="between">
      <formula>$B$1/2</formula>
      <formula>$B$1</formula>
    </cfRule>
    <cfRule type="cellIs" dxfId="27" priority="15" operator="lessThan">
      <formula>$B$1/2</formula>
    </cfRule>
  </conditionalFormatting>
  <conditionalFormatting sqref="P43">
    <cfRule type="cellIs" dxfId="26" priority="1" operator="greaterThan">
      <formula>$B$1</formula>
    </cfRule>
    <cfRule type="cellIs" dxfId="25" priority="2" operator="between">
      <formula>$B$1/2</formula>
      <formula>$B$1</formula>
    </cfRule>
    <cfRule type="cellIs" dxfId="24" priority="3" operator="lessThan">
      <formula>$B$1/2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FCF2DC-8C07-4B49-A405-8DB14787D7EE}">
          <x14:formula1>
            <xm:f>'TARIFS 12 2025'!$B:$B</xm:f>
          </x14:formula1>
          <xm:sqref>A4:A15 M26:M37 I26:I37 E26:E37 A26:A37 M4:M15 I4:I15 E4:E15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7113-34AE-4157-8461-4709BD3180FF}">
  <sheetPr>
    <tabColor theme="9" tint="0.59999389629810485"/>
  </sheetPr>
  <dimension ref="A1:P44"/>
  <sheetViews>
    <sheetView topLeftCell="A6" zoomScale="90" zoomScaleNormal="90" workbookViewId="0">
      <selection activeCell="K28" sqref="K28"/>
    </sheetView>
  </sheetViews>
  <sheetFormatPr baseColWidth="10" defaultColWidth="10.7109375" defaultRowHeight="15" x14ac:dyDescent="0.25"/>
  <cols>
    <col min="1" max="1" width="33.7109375" customWidth="1"/>
    <col min="4" max="4" width="11.42578125" customWidth="1"/>
    <col min="5" max="5" width="33.7109375" customWidth="1"/>
    <col min="9" max="9" width="33.7109375" customWidth="1"/>
    <col min="13" max="13" width="33.7109375" customWidth="1"/>
  </cols>
  <sheetData>
    <row r="1" spans="1:16" ht="15.75" thickBot="1" x14ac:dyDescent="0.3">
      <c r="A1" s="39" t="s">
        <v>928</v>
      </c>
      <c r="B1" s="40">
        <v>4</v>
      </c>
    </row>
    <row r="2" spans="1:16" ht="22.5" customHeight="1" thickBot="1" x14ac:dyDescent="0.3">
      <c r="A2" s="174" t="s">
        <v>1046</v>
      </c>
      <c r="B2" s="175"/>
      <c r="C2" s="175"/>
      <c r="D2" s="176"/>
      <c r="E2" s="174" t="s">
        <v>1047</v>
      </c>
      <c r="F2" s="175"/>
      <c r="G2" s="175"/>
      <c r="H2" s="176"/>
      <c r="I2" s="174" t="s">
        <v>1048</v>
      </c>
      <c r="J2" s="175"/>
      <c r="K2" s="175"/>
      <c r="L2" s="176"/>
      <c r="M2" s="174" t="s">
        <v>1049</v>
      </c>
      <c r="N2" s="175"/>
      <c r="O2" s="175"/>
      <c r="P2" s="176"/>
    </row>
    <row r="3" spans="1:16" x14ac:dyDescent="0.25">
      <c r="A3" s="37"/>
      <c r="B3" s="6" t="s">
        <v>933</v>
      </c>
      <c r="C3" s="6" t="s">
        <v>934</v>
      </c>
      <c r="D3" s="38"/>
      <c r="E3" s="37"/>
      <c r="F3" s="6" t="s">
        <v>933</v>
      </c>
      <c r="G3" s="6" t="s">
        <v>934</v>
      </c>
      <c r="H3" s="38"/>
      <c r="I3" s="37"/>
      <c r="J3" s="6" t="s">
        <v>933</v>
      </c>
      <c r="K3" s="6" t="s">
        <v>934</v>
      </c>
      <c r="L3" s="38"/>
      <c r="M3" s="37"/>
      <c r="N3" s="6" t="s">
        <v>933</v>
      </c>
      <c r="O3" s="6" t="s">
        <v>934</v>
      </c>
      <c r="P3" s="38"/>
    </row>
    <row r="4" spans="1:16" x14ac:dyDescent="0.25">
      <c r="A4" s="33" t="s">
        <v>553</v>
      </c>
      <c r="B4" s="32">
        <f>IFERROR(VLOOKUP(A4,'TARIFS 12 2025'!B3:J487,9,FALSE),"")</f>
        <v>0.11275431235431235</v>
      </c>
      <c r="C4" s="36">
        <v>0.2</v>
      </c>
      <c r="D4" s="34">
        <f>+C4*B4</f>
        <v>2.2550862470862472E-2</v>
      </c>
      <c r="E4" s="33" t="s">
        <v>553</v>
      </c>
      <c r="F4" s="32">
        <f>IFERROR(VLOOKUP(E4,'TARIFS 12 2025'!B3:J466,9,FALSE),"")</f>
        <v>0.11275431235431235</v>
      </c>
      <c r="G4" s="36">
        <v>0.18</v>
      </c>
      <c r="H4" s="34">
        <f>+G4*F4</f>
        <v>2.0295776223776221E-2</v>
      </c>
      <c r="I4" s="33" t="s">
        <v>553</v>
      </c>
      <c r="J4" s="32">
        <f>IFERROR(VLOOKUP(I4,'TARIFS 12 2025'!B3:J502,9,FALSE),"")</f>
        <v>0.11275431235431235</v>
      </c>
      <c r="K4" s="36">
        <v>0.18</v>
      </c>
      <c r="L4" s="34">
        <f>+K4*J4</f>
        <v>2.0295776223776221E-2</v>
      </c>
      <c r="M4" s="33" t="s">
        <v>523</v>
      </c>
      <c r="N4" s="32">
        <f>IFERROR(VLOOKUP(M4,'TARIFS 12 2025'!B3:J510,9,FALSE),"")</f>
        <v>0.11812625000000002</v>
      </c>
      <c r="O4" s="36">
        <v>1</v>
      </c>
      <c r="P4" s="34">
        <f>+O4*N4</f>
        <v>0.11812625000000002</v>
      </c>
    </row>
    <row r="5" spans="1:16" x14ac:dyDescent="0.25">
      <c r="A5" s="33" t="s">
        <v>797</v>
      </c>
      <c r="B5" s="32">
        <f>IFERROR(VLOOKUP(A5,'TARIFS 12 2025'!B4:J461,9,FALSE),"")</f>
        <v>4.95</v>
      </c>
      <c r="C5" s="36">
        <v>0.01</v>
      </c>
      <c r="D5" s="34">
        <f t="shared" ref="D5:D10" si="0">+C5*B5</f>
        <v>4.9500000000000002E-2</v>
      </c>
      <c r="E5" s="33" t="s">
        <v>449</v>
      </c>
      <c r="F5" s="32">
        <f>IFERROR(VLOOKUP(E5,'TARIFS 12 2025'!B4:J469,9,FALSE),"")/5</f>
        <v>0.42199999999999999</v>
      </c>
      <c r="G5" s="36">
        <v>0.02</v>
      </c>
      <c r="H5" s="34">
        <f t="shared" ref="H5:H10" si="1">+G5*F5</f>
        <v>8.4399999999999996E-3</v>
      </c>
      <c r="I5" s="33" t="s">
        <v>449</v>
      </c>
      <c r="J5" s="32">
        <f>IFERROR(VLOOKUP(I5,'TARIFS 12 2025'!B4:J503,9,FALSE),"")</f>
        <v>2.11</v>
      </c>
      <c r="K5" s="36">
        <v>0.02</v>
      </c>
      <c r="L5" s="34">
        <f t="shared" ref="L5:L10" si="2">+K5*J5</f>
        <v>4.2200000000000001E-2</v>
      </c>
      <c r="M5" s="33" t="s">
        <v>808</v>
      </c>
      <c r="N5" s="32">
        <f>IFERROR(VLOOKUP(M5,'TARIFS 12 2025'!B4:J511,9,FALSE),"")/5</f>
        <v>0.53800000000000003</v>
      </c>
      <c r="O5" s="36">
        <v>0.08</v>
      </c>
      <c r="P5" s="34">
        <f t="shared" ref="P5:P9" si="3">+O5*N5</f>
        <v>4.3040000000000002E-2</v>
      </c>
    </row>
    <row r="6" spans="1:16" x14ac:dyDescent="0.25">
      <c r="A6" s="33" t="s">
        <v>447</v>
      </c>
      <c r="B6" s="32">
        <f>IFERROR(VLOOKUP(A6,'TARIFS 12 2025'!B5:J462,9,FALSE),"")/20</f>
        <v>0.54</v>
      </c>
      <c r="C6" s="36">
        <v>1.4999999999999999E-2</v>
      </c>
      <c r="D6" s="34">
        <f t="shared" si="0"/>
        <v>8.0999999999999996E-3</v>
      </c>
      <c r="E6" s="33" t="s">
        <v>447</v>
      </c>
      <c r="F6" s="32">
        <f>IFERROR(VLOOKUP(E6,'TARIFS 12 2025'!B5:J470,9,FALSE),"")</f>
        <v>10.8</v>
      </c>
      <c r="G6" s="36">
        <v>1.4999999999999999E-2</v>
      </c>
      <c r="H6" s="34">
        <f t="shared" si="1"/>
        <v>0.16200000000000001</v>
      </c>
      <c r="I6" s="33" t="s">
        <v>813</v>
      </c>
      <c r="J6" s="32">
        <f>IFERROR(VLOOKUP(I6,'TARIFS 12 2025'!B5:J504,9,FALSE),"")</f>
        <v>3.03</v>
      </c>
      <c r="K6" s="36">
        <v>1.4999999999999999E-2</v>
      </c>
      <c r="L6" s="34">
        <f t="shared" si="2"/>
        <v>4.5449999999999997E-2</v>
      </c>
      <c r="M6" s="33" t="s">
        <v>797</v>
      </c>
      <c r="N6" s="32">
        <f>IFERROR(VLOOKUP(M6,'TARIFS 12 2025'!B5:J512,9,FALSE),"")</f>
        <v>4.95</v>
      </c>
      <c r="O6" s="36">
        <v>8.0000000000000002E-3</v>
      </c>
      <c r="P6" s="34">
        <f t="shared" si="3"/>
        <v>3.9600000000000003E-2</v>
      </c>
    </row>
    <row r="7" spans="1:16" x14ac:dyDescent="0.25">
      <c r="A7" s="33" t="s">
        <v>813</v>
      </c>
      <c r="B7" s="32">
        <f>IFERROR(VLOOKUP(A7,'TARIFS 12 2025'!B6:J463,9,FALSE),"")/40</f>
        <v>7.5749999999999998E-2</v>
      </c>
      <c r="C7" s="36">
        <v>1.4999999999999999E-2</v>
      </c>
      <c r="D7" s="34">
        <f t="shared" si="0"/>
        <v>1.1362499999999999E-3</v>
      </c>
      <c r="E7" s="33" t="s">
        <v>813</v>
      </c>
      <c r="F7" s="32">
        <f>IFERROR(VLOOKUP(E7,'TARIFS 12 2025'!B6:J471,9,FALSE),"")</f>
        <v>3.03</v>
      </c>
      <c r="G7" s="36">
        <v>1.4999999999999999E-2</v>
      </c>
      <c r="H7" s="34">
        <f t="shared" si="1"/>
        <v>4.5449999999999997E-2</v>
      </c>
      <c r="I7" s="33" t="s">
        <v>447</v>
      </c>
      <c r="J7" s="32">
        <f>IFERROR(VLOOKUP(I7,'TARIFS 12 2025'!B6:J505,9,FALSE),"")</f>
        <v>10.8</v>
      </c>
      <c r="K7" s="36">
        <v>1.4999999999999999E-2</v>
      </c>
      <c r="L7" s="34">
        <f t="shared" si="2"/>
        <v>0.16200000000000001</v>
      </c>
      <c r="M7" s="33" t="s">
        <v>23</v>
      </c>
      <c r="N7" s="32">
        <f>IFERROR(VLOOKUP(M7,'TARIFS 12 2025'!B6:J513,9,FALSE),"")</f>
        <v>7.3</v>
      </c>
      <c r="O7" s="36">
        <v>4.4999999999999998E-2</v>
      </c>
      <c r="P7" s="34">
        <f t="shared" si="3"/>
        <v>0.32849999999999996</v>
      </c>
    </row>
    <row r="8" spans="1:16" x14ac:dyDescent="0.25">
      <c r="A8" s="33" t="s">
        <v>88</v>
      </c>
      <c r="B8" s="32">
        <f>IFERROR(VLOOKUP(A8,'TARIFS 12 2025'!B7:J463,9,FALSE),"")</f>
        <v>9.09</v>
      </c>
      <c r="C8" s="36">
        <v>3.5000000000000003E-2</v>
      </c>
      <c r="D8" s="34">
        <f t="shared" si="0"/>
        <v>0.31815000000000004</v>
      </c>
      <c r="E8" s="33" t="s">
        <v>797</v>
      </c>
      <c r="F8" s="32">
        <f>IFERROR(VLOOKUP(E8,'TARIFS 12 2025'!B7:J472,9,FALSE),"")</f>
        <v>4.95</v>
      </c>
      <c r="G8" s="36">
        <v>0.01</v>
      </c>
      <c r="H8" s="34">
        <f t="shared" si="1"/>
        <v>4.9500000000000002E-2</v>
      </c>
      <c r="I8" s="33" t="s">
        <v>797</v>
      </c>
      <c r="J8" s="32">
        <f>IFERROR(VLOOKUP(I8,'TARIFS 12 2025'!B7:J506,9,FALSE),"")</f>
        <v>4.95</v>
      </c>
      <c r="K8" s="36">
        <v>0.01</v>
      </c>
      <c r="L8" s="34">
        <f t="shared" si="2"/>
        <v>4.9500000000000002E-2</v>
      </c>
      <c r="M8" s="33" t="s">
        <v>502</v>
      </c>
      <c r="N8" s="32">
        <f>IFERROR(VLOOKUP(M8,'TARIFS 12 2025'!B7:J514,9,FALSE),"")/20</f>
        <v>0.27100000000000002</v>
      </c>
      <c r="O8" s="36">
        <v>2E-3</v>
      </c>
      <c r="P8" s="34">
        <f t="shared" si="3"/>
        <v>5.4200000000000006E-4</v>
      </c>
    </row>
    <row r="9" spans="1:16" x14ac:dyDescent="0.25">
      <c r="A9" s="33" t="s">
        <v>291</v>
      </c>
      <c r="B9" s="32">
        <f>IFERROR(VLOOKUP(A9,'TARIFS 12 2025'!B8:J464,9,FALSE),"")</f>
        <v>7.4</v>
      </c>
      <c r="C9" s="36">
        <v>0.05</v>
      </c>
      <c r="D9" s="34">
        <f t="shared" si="0"/>
        <v>0.37000000000000005</v>
      </c>
      <c r="E9" s="33" t="s">
        <v>756</v>
      </c>
      <c r="F9" s="32">
        <f>IFERROR(VLOOKUP(E9,'TARIFS 12 2025'!B8:J473,9,FALSE),"")</f>
        <v>6.24</v>
      </c>
      <c r="G9" s="36">
        <v>3.5999999999999997E-2</v>
      </c>
      <c r="H9" s="34">
        <f t="shared" si="1"/>
        <v>0.22463999999999998</v>
      </c>
      <c r="I9" s="33" t="s">
        <v>1050</v>
      </c>
      <c r="J9" s="32" t="str">
        <f>IFERROR(VLOOKUP(I9,'TARIFS 12 2025'!B8:J507,9,FALSE),"")</f>
        <v/>
      </c>
      <c r="K9" s="36">
        <v>2.4E-2</v>
      </c>
      <c r="L9" s="34" t="e">
        <f t="shared" si="2"/>
        <v>#VALUE!</v>
      </c>
      <c r="M9" s="33" t="s">
        <v>1051</v>
      </c>
      <c r="N9" s="32" t="str">
        <f>IFERROR(VLOOKUP(M9,'TARIFS 12 2025'!B8:J515,9,FALSE),"")</f>
        <v/>
      </c>
      <c r="O9" s="36">
        <f>1/84</f>
        <v>1.1904761904761904E-2</v>
      </c>
      <c r="P9" s="34" t="e">
        <f t="shared" si="3"/>
        <v>#VALUE!</v>
      </c>
    </row>
    <row r="10" spans="1:16" x14ac:dyDescent="0.25">
      <c r="A10" s="33" t="s">
        <v>880</v>
      </c>
      <c r="B10" s="32" t="str">
        <f>IFERROR(VLOOKUP(A10,'TARIFS 12 2025'!B9:J465,9,FALSE),"")</f>
        <v/>
      </c>
      <c r="C10" s="36">
        <v>0.03</v>
      </c>
      <c r="D10" s="34" t="e">
        <f t="shared" si="0"/>
        <v>#VALUE!</v>
      </c>
      <c r="E10" s="33" t="s">
        <v>296</v>
      </c>
      <c r="F10" s="32">
        <f>IFERROR(VLOOKUP(E10,'TARIFS 12 2025'!B9:J474,9,FALSE),"")</f>
        <v>0.19</v>
      </c>
      <c r="G10" s="36">
        <v>2.1999999999999999E-2</v>
      </c>
      <c r="H10" s="34">
        <f t="shared" si="1"/>
        <v>4.1799999999999997E-3</v>
      </c>
      <c r="I10" s="33" t="s">
        <v>151</v>
      </c>
      <c r="J10" s="32">
        <f>IFERROR(VLOOKUP(I10,'TARIFS 12 2025'!B9:J508,9,FALSE),"")</f>
        <v>12.69</v>
      </c>
      <c r="K10" s="36">
        <v>1.7999999999999999E-2</v>
      </c>
      <c r="L10" s="34">
        <f t="shared" si="2"/>
        <v>0.22841999999999998</v>
      </c>
      <c r="M10" s="33"/>
      <c r="N10" s="32" t="str">
        <f>IFERROR(VLOOKUP(M10,'TARIFS 12 2025'!B9:J516,9,FALSE),"")</f>
        <v/>
      </c>
      <c r="O10" s="36"/>
      <c r="P10" s="34"/>
    </row>
    <row r="11" spans="1:16" x14ac:dyDescent="0.25">
      <c r="A11" s="33"/>
      <c r="B11" s="32" t="str">
        <f>IFERROR(VLOOKUP(A11,'TARIFS 12 2025'!B10:J466,9,FALSE),"")</f>
        <v/>
      </c>
      <c r="C11" s="36"/>
      <c r="D11" s="34"/>
      <c r="E11" s="33"/>
      <c r="F11" s="32"/>
      <c r="G11" s="36"/>
      <c r="H11" s="34"/>
      <c r="I11" s="33"/>
      <c r="J11" s="32" t="str">
        <f>IFERROR(VLOOKUP(I11,'TARIFS 12 2025'!B10:J509,9,FALSE),"")</f>
        <v/>
      </c>
      <c r="K11" s="36"/>
      <c r="L11" s="34"/>
      <c r="M11" s="33"/>
      <c r="N11" s="32" t="str">
        <f>IFERROR(VLOOKUP(M11,'TARIFS 12 2025'!B10:J517,9,FALSE),"")</f>
        <v/>
      </c>
      <c r="O11" s="36"/>
      <c r="P11" s="34"/>
    </row>
    <row r="12" spans="1:16" x14ac:dyDescent="0.25">
      <c r="A12" s="33"/>
      <c r="B12" s="32" t="str">
        <f>IFERROR(VLOOKUP(A12,'TARIFS 12 2025'!B11:J469,9,FALSE),"")</f>
        <v/>
      </c>
      <c r="C12" s="36"/>
      <c r="D12" s="34"/>
      <c r="E12" s="33"/>
      <c r="F12" s="32"/>
      <c r="G12" s="36"/>
      <c r="H12" s="34"/>
      <c r="I12" s="33"/>
      <c r="J12" s="32" t="str">
        <f>IFERROR(VLOOKUP(I12,'TARIFS 12 2025'!B11:J510,9,FALSE),"")</f>
        <v/>
      </c>
      <c r="K12" s="36"/>
      <c r="L12" s="34"/>
      <c r="M12" s="33"/>
      <c r="N12" s="32" t="str">
        <f>IFERROR(VLOOKUP(M12,'TARIFS 12 2025'!B11:J518,9,FALSE),"")</f>
        <v/>
      </c>
      <c r="O12" s="36"/>
      <c r="P12" s="34"/>
    </row>
    <row r="13" spans="1:16" x14ac:dyDescent="0.25">
      <c r="A13" s="33"/>
      <c r="B13" s="32" t="str">
        <f>IFERROR(VLOOKUP(A13,'TARIFS 12 2025'!B12:J470,9,FALSE),"")</f>
        <v/>
      </c>
      <c r="C13" s="36"/>
      <c r="D13" s="34"/>
      <c r="E13" s="33"/>
      <c r="F13" s="32"/>
      <c r="G13" s="36"/>
      <c r="H13" s="34"/>
      <c r="I13" s="33"/>
      <c r="J13" s="32" t="str">
        <f>IFERROR(VLOOKUP(I13,'TARIFS 12 2025'!B12:J511,9,FALSE),"")</f>
        <v/>
      </c>
      <c r="K13" s="36"/>
      <c r="L13" s="34"/>
      <c r="M13" s="33"/>
      <c r="N13" s="32" t="str">
        <f>IFERROR(VLOOKUP(M13,'TARIFS 12 2025'!B12:J519,9,FALSE),"")</f>
        <v/>
      </c>
      <c r="O13" s="36"/>
      <c r="P13" s="34"/>
    </row>
    <row r="14" spans="1:16" x14ac:dyDescent="0.25">
      <c r="A14" s="33"/>
      <c r="B14" s="32" t="str">
        <f>IFERROR(VLOOKUP(A14,'TARIFS 12 2025'!B13:J471,9,FALSE),"")</f>
        <v/>
      </c>
      <c r="C14" s="36"/>
      <c r="D14" s="34"/>
      <c r="E14" s="33"/>
      <c r="F14" s="32"/>
      <c r="G14" s="36"/>
      <c r="H14" s="34"/>
      <c r="I14" s="33"/>
      <c r="J14" s="32" t="str">
        <f>IFERROR(VLOOKUP(I14,'TARIFS 12 2025'!B13:J512,9,FALSE),"")</f>
        <v/>
      </c>
      <c r="K14" s="36"/>
      <c r="L14" s="34"/>
      <c r="M14" s="33"/>
      <c r="N14" s="32" t="str">
        <f>IFERROR(VLOOKUP(M14,'TARIFS 12 2025'!B13:J520,9,FALSE),"")</f>
        <v/>
      </c>
      <c r="O14" s="36"/>
      <c r="P14" s="34"/>
    </row>
    <row r="15" spans="1:16" x14ac:dyDescent="0.25">
      <c r="A15" s="33"/>
      <c r="B15" s="32"/>
      <c r="C15" s="36"/>
      <c r="D15" s="34"/>
      <c r="E15" s="33"/>
      <c r="F15" s="32"/>
      <c r="G15" s="36"/>
      <c r="H15" s="34"/>
      <c r="I15" s="33"/>
      <c r="J15" s="32" t="str">
        <f>IFERROR(VLOOKUP(I15,'TARIFS 12 2025'!B14:J513,9,FALSE),"")</f>
        <v/>
      </c>
      <c r="K15" s="36"/>
      <c r="L15" s="34"/>
      <c r="M15" s="33"/>
      <c r="N15" s="32" t="str">
        <f>IFERROR(VLOOKUP(M15,'TARIFS 12 2025'!B14:J521,9,FALSE),"")</f>
        <v/>
      </c>
      <c r="O15" s="36"/>
      <c r="P15" s="34"/>
    </row>
    <row r="16" spans="1:16" x14ac:dyDescent="0.25">
      <c r="A16" s="24"/>
      <c r="D16" s="25"/>
      <c r="E16" s="24"/>
      <c r="H16" s="25"/>
      <c r="I16" s="24"/>
      <c r="L16" s="25"/>
      <c r="M16" s="24"/>
      <c r="P16" s="25"/>
    </row>
    <row r="17" spans="1:16" x14ac:dyDescent="0.25">
      <c r="A17" s="24"/>
      <c r="C17" t="s">
        <v>939</v>
      </c>
      <c r="D17" s="26" t="e">
        <f>+SUM(D4:D15)</f>
        <v>#VALUE!</v>
      </c>
      <c r="E17" s="24"/>
      <c r="G17" t="s">
        <v>939</v>
      </c>
      <c r="H17" s="26">
        <f>+SUM(H4:H15)</f>
        <v>0.51450577622377613</v>
      </c>
      <c r="I17" s="24"/>
      <c r="K17" t="s">
        <v>939</v>
      </c>
      <c r="L17" s="26" t="e">
        <f>+SUM(L4:L15)</f>
        <v>#VALUE!</v>
      </c>
      <c r="M17" s="24"/>
      <c r="O17" t="s">
        <v>939</v>
      </c>
      <c r="P17" s="26" t="e">
        <f>+SUM(P4:P15)</f>
        <v>#VALUE!</v>
      </c>
    </row>
    <row r="18" spans="1:16" x14ac:dyDescent="0.25">
      <c r="A18" s="24"/>
      <c r="C18" t="s">
        <v>939</v>
      </c>
      <c r="D18" s="27" t="e">
        <f>+D17</f>
        <v>#VALUE!</v>
      </c>
      <c r="E18" s="24"/>
      <c r="G18" t="s">
        <v>939</v>
      </c>
      <c r="H18" s="27">
        <f>+H17</f>
        <v>0.51450577622377613</v>
      </c>
      <c r="I18" s="24"/>
      <c r="K18" t="s">
        <v>939</v>
      </c>
      <c r="L18" s="27" t="e">
        <f>+L17</f>
        <v>#VALUE!</v>
      </c>
      <c r="M18" s="24"/>
      <c r="O18" t="s">
        <v>939</v>
      </c>
      <c r="P18" s="27" t="e">
        <f>+P17</f>
        <v>#VALUE!</v>
      </c>
    </row>
    <row r="19" spans="1:16" x14ac:dyDescent="0.25">
      <c r="A19" s="24"/>
      <c r="D19" s="25"/>
      <c r="E19" s="24"/>
      <c r="H19" s="25"/>
      <c r="I19" s="24"/>
      <c r="L19" s="25"/>
      <c r="M19" s="24"/>
      <c r="P19" s="25"/>
    </row>
    <row r="20" spans="1:16" x14ac:dyDescent="0.25">
      <c r="A20" s="24"/>
      <c r="C20" t="s">
        <v>941</v>
      </c>
      <c r="D20" s="27"/>
      <c r="E20" s="24"/>
      <c r="G20" t="s">
        <v>941</v>
      </c>
      <c r="H20" s="27"/>
      <c r="I20" s="24"/>
      <c r="K20" t="s">
        <v>941</v>
      </c>
      <c r="L20" s="27"/>
      <c r="M20" s="24"/>
      <c r="O20" t="s">
        <v>941</v>
      </c>
      <c r="P20" s="27"/>
    </row>
    <row r="21" spans="1:16" ht="15.75" x14ac:dyDescent="0.25">
      <c r="A21" s="24"/>
      <c r="C21" t="s">
        <v>942</v>
      </c>
      <c r="D21" s="31" t="e">
        <f>+D20/D18</f>
        <v>#VALUE!</v>
      </c>
      <c r="E21" s="24"/>
      <c r="G21" t="s">
        <v>942</v>
      </c>
      <c r="H21" s="31">
        <f>+H20/H18</f>
        <v>0</v>
      </c>
      <c r="I21" s="24"/>
      <c r="K21" t="s">
        <v>942</v>
      </c>
      <c r="L21" s="31" t="e">
        <f>+L20/L18</f>
        <v>#VALUE!</v>
      </c>
      <c r="M21" s="24"/>
      <c r="O21" t="s">
        <v>942</v>
      </c>
      <c r="P21" s="31" t="e">
        <f>+P20/P18</f>
        <v>#VALUE!</v>
      </c>
    </row>
    <row r="22" spans="1:16" ht="15.75" thickBot="1" x14ac:dyDescent="0.3">
      <c r="A22" s="28"/>
      <c r="B22" s="29"/>
      <c r="C22" s="29" t="s">
        <v>0</v>
      </c>
      <c r="D22" s="94" t="e">
        <f>(D20-D18)/D20</f>
        <v>#VALUE!</v>
      </c>
      <c r="E22" s="28"/>
      <c r="F22" s="29"/>
      <c r="G22" s="29" t="s">
        <v>0</v>
      </c>
      <c r="H22" s="94" t="e">
        <f>(H20-H18)/H20</f>
        <v>#DIV/0!</v>
      </c>
      <c r="I22" s="28"/>
      <c r="J22" s="29"/>
      <c r="K22" s="29" t="s">
        <v>0</v>
      </c>
      <c r="L22" s="94" t="e">
        <f>(L20-L18)/L20</f>
        <v>#VALUE!</v>
      </c>
      <c r="M22" s="28"/>
      <c r="N22" s="29"/>
      <c r="O22" s="29"/>
      <c r="P22" s="94" t="e">
        <f>(P20-P18)/P20</f>
        <v>#VALUE!</v>
      </c>
    </row>
    <row r="23" spans="1:16" ht="15.75" thickBot="1" x14ac:dyDescent="0.3"/>
    <row r="24" spans="1:16" ht="24.75" customHeight="1" thickBot="1" x14ac:dyDescent="0.3">
      <c r="A24" s="174" t="s">
        <v>1005</v>
      </c>
      <c r="B24" s="175"/>
      <c r="C24" s="175"/>
      <c r="D24" s="176"/>
      <c r="E24" s="174" t="s">
        <v>1052</v>
      </c>
      <c r="F24" s="175"/>
      <c r="G24" s="175"/>
      <c r="H24" s="176"/>
      <c r="I24" s="174" t="s">
        <v>1053</v>
      </c>
      <c r="J24" s="175"/>
      <c r="K24" s="175"/>
      <c r="L24" s="176"/>
      <c r="M24" s="174" t="s">
        <v>1000</v>
      </c>
      <c r="N24" s="175"/>
      <c r="O24" s="175"/>
      <c r="P24" s="176"/>
    </row>
    <row r="25" spans="1:16" x14ac:dyDescent="0.25">
      <c r="A25" s="37"/>
      <c r="B25" s="6" t="s">
        <v>933</v>
      </c>
      <c r="C25" s="6" t="s">
        <v>934</v>
      </c>
      <c r="D25" s="38"/>
      <c r="E25" s="37"/>
      <c r="F25" s="6" t="s">
        <v>933</v>
      </c>
      <c r="G25" s="6" t="s">
        <v>934</v>
      </c>
      <c r="H25" s="38"/>
      <c r="I25" s="37"/>
      <c r="J25" s="6" t="s">
        <v>933</v>
      </c>
      <c r="K25" s="6" t="s">
        <v>934</v>
      </c>
      <c r="L25" s="38"/>
      <c r="M25" s="37"/>
      <c r="N25" s="6" t="s">
        <v>933</v>
      </c>
      <c r="O25" s="6" t="s">
        <v>934</v>
      </c>
      <c r="P25" s="38"/>
    </row>
    <row r="26" spans="1:16" x14ac:dyDescent="0.25">
      <c r="A26" s="33" t="s">
        <v>665</v>
      </c>
      <c r="B26" s="32">
        <f>IFERROR(VLOOKUP(A26,'TARIFS 12 2025'!B3:J525,9,FALSE),"")/50</f>
        <v>6.9800000000000001E-2</v>
      </c>
      <c r="C26" s="36">
        <v>1</v>
      </c>
      <c r="D26" s="34">
        <f>+C26*B26</f>
        <v>6.9800000000000001E-2</v>
      </c>
      <c r="E26" s="33" t="s">
        <v>665</v>
      </c>
      <c r="F26" s="32">
        <v>0.1</v>
      </c>
      <c r="G26" s="36">
        <v>1</v>
      </c>
      <c r="H26" s="34">
        <f>+G26*F26</f>
        <v>0.1</v>
      </c>
      <c r="I26" s="33" t="s">
        <v>663</v>
      </c>
      <c r="J26" s="32">
        <f>IFERROR(VLOOKUP(I26,'TARIFS 12 2025'!B3:J491,9,FALSE),"")</f>
        <v>5.8230000000000004</v>
      </c>
      <c r="K26" s="36">
        <v>0.02</v>
      </c>
      <c r="L26" s="34">
        <f>+K26*J26</f>
        <v>0.11646000000000001</v>
      </c>
      <c r="M26" s="33" t="s">
        <v>553</v>
      </c>
      <c r="N26" s="32">
        <f>IFERROR(VLOOKUP(M26,'TARIFS 12 2025'!B3:J501,9,FALSE),"")</f>
        <v>0.11275431235431235</v>
      </c>
      <c r="O26" s="36">
        <v>0.2</v>
      </c>
      <c r="P26" s="34">
        <f>+O26*N26</f>
        <v>2.2550862470862472E-2</v>
      </c>
    </row>
    <row r="27" spans="1:16" x14ac:dyDescent="0.25">
      <c r="A27" s="33" t="s">
        <v>885</v>
      </c>
      <c r="B27" s="32">
        <f>IFERROR(VLOOKUP(A27,'TARIFS 12 2025'!B4:J526,9,FALSE),"")/15</f>
        <v>0.25533333333333336</v>
      </c>
      <c r="C27" s="36">
        <v>1</v>
      </c>
      <c r="D27" s="34">
        <f>+C27*B27</f>
        <v>0.25533333333333336</v>
      </c>
      <c r="E27" s="33" t="s">
        <v>885</v>
      </c>
      <c r="F27" s="32">
        <v>0.3</v>
      </c>
      <c r="G27" s="36">
        <v>1</v>
      </c>
      <c r="H27" s="34">
        <f t="shared" ref="H27" si="4">+G27*F27</f>
        <v>0.3</v>
      </c>
      <c r="I27" s="33" t="s">
        <v>230</v>
      </c>
      <c r="J27" s="32">
        <f>IFERROR(VLOOKUP(I27,'TARIFS 12 2025'!B4:J492,9,FALSE),"")</f>
        <v>3.27</v>
      </c>
      <c r="K27" s="36">
        <v>0.02</v>
      </c>
      <c r="L27" s="34">
        <f t="shared" ref="L27:L31" si="5">+K27*J27</f>
        <v>6.54E-2</v>
      </c>
      <c r="M27" s="33" t="s">
        <v>407</v>
      </c>
      <c r="N27" s="32">
        <f>IFERROR(VLOOKUP(M27,'TARIFS 12 2025'!B4:J502,9,FALSE),"")</f>
        <v>6.99</v>
      </c>
      <c r="O27" s="36">
        <v>0.02</v>
      </c>
      <c r="P27" s="34">
        <f t="shared" ref="P27:P29" si="6">+O27*N27</f>
        <v>0.13980000000000001</v>
      </c>
    </row>
    <row r="28" spans="1:16" x14ac:dyDescent="0.25">
      <c r="A28" s="33" t="s">
        <v>291</v>
      </c>
      <c r="B28" s="32">
        <f>IFERROR(VLOOKUP(A28,'TARIFS 12 2025'!B5:J527,9,FALSE),"")</f>
        <v>7.4</v>
      </c>
      <c r="C28" s="36">
        <v>0.04</v>
      </c>
      <c r="D28" s="34">
        <f t="shared" ref="D28:D32" si="7">+C28*B28</f>
        <v>0.29600000000000004</v>
      </c>
      <c r="E28" s="33" t="s">
        <v>868</v>
      </c>
      <c r="F28" s="32">
        <f>IFERROR(VLOOKUP(E28,'TARIFS 12 2025'!B5:J495,9,FALSE),"")</f>
        <v>3.88</v>
      </c>
      <c r="G28" s="36">
        <v>0.05</v>
      </c>
      <c r="H28" s="34">
        <f>+G28*F28</f>
        <v>0.19400000000000001</v>
      </c>
      <c r="I28" s="33" t="s">
        <v>797</v>
      </c>
      <c r="J28" s="32">
        <f>IFERROR(VLOOKUP(I28,'TARIFS 12 2025'!B5:J493,9,FALSE),"")</f>
        <v>4.95</v>
      </c>
      <c r="K28" s="36">
        <v>3.5000000000000003E-2</v>
      </c>
      <c r="L28" s="34">
        <f t="shared" si="5"/>
        <v>0.17325000000000002</v>
      </c>
      <c r="M28" s="33" t="s">
        <v>863</v>
      </c>
      <c r="N28" s="32" t="str">
        <f>IFERROR(VLOOKUP(M28,'TARIFS 12 2025'!B5:J503,9,FALSE),"")</f>
        <v/>
      </c>
      <c r="O28" s="36">
        <v>0.02</v>
      </c>
      <c r="P28" s="34" t="e">
        <f t="shared" si="6"/>
        <v>#VALUE!</v>
      </c>
    </row>
    <row r="29" spans="1:16" x14ac:dyDescent="0.25">
      <c r="A29" s="33" t="s">
        <v>447</v>
      </c>
      <c r="B29" s="32">
        <f>IFERROR(VLOOKUP(A29,'TARIFS 12 2025'!B6:J528,9,FALSE),"")</f>
        <v>10.8</v>
      </c>
      <c r="C29" s="36">
        <v>0.02</v>
      </c>
      <c r="D29" s="34">
        <f t="shared" si="7"/>
        <v>0.21600000000000003</v>
      </c>
      <c r="E29" s="33" t="s">
        <v>797</v>
      </c>
      <c r="F29" s="32">
        <f>IFERROR(VLOOKUP(E29,'TARIFS 12 2025'!B6:J496,9,FALSE),"")</f>
        <v>4.95</v>
      </c>
      <c r="G29" s="36">
        <v>0.02</v>
      </c>
      <c r="H29" s="34">
        <f>+G29*F29</f>
        <v>9.9000000000000005E-2</v>
      </c>
      <c r="I29" s="33" t="s">
        <v>407</v>
      </c>
      <c r="J29" s="32">
        <f>IFERROR(VLOOKUP(I29,'TARIFS 12 2025'!B6:J494,9,FALSE),"")</f>
        <v>6.99</v>
      </c>
      <c r="K29" s="36">
        <v>0.02</v>
      </c>
      <c r="L29" s="34">
        <f t="shared" si="5"/>
        <v>0.13980000000000001</v>
      </c>
      <c r="M29" s="33" t="s">
        <v>296</v>
      </c>
      <c r="N29" s="32">
        <f>IFERROR(VLOOKUP(M29,'TARIFS 12 2025'!B6:J504,9,FALSE),"")</f>
        <v>0.19</v>
      </c>
      <c r="O29" s="36">
        <v>1.5</v>
      </c>
      <c r="P29" s="34">
        <f t="shared" si="6"/>
        <v>0.28500000000000003</v>
      </c>
    </row>
    <row r="30" spans="1:16" x14ac:dyDescent="0.25">
      <c r="A30" s="33" t="s">
        <v>880</v>
      </c>
      <c r="B30" s="32">
        <f>IFERROR(VLOOKUP(A30,'TARIFS 12 2025'!B7:J529,9,FALSE),"")</f>
        <v>2.25</v>
      </c>
      <c r="C30" s="36">
        <v>0.03</v>
      </c>
      <c r="D30" s="34">
        <f t="shared" si="7"/>
        <v>6.7500000000000004E-2</v>
      </c>
      <c r="E30" s="33" t="s">
        <v>201</v>
      </c>
      <c r="F30" s="32">
        <f>IFERROR(VLOOKUP(E30,'TARIFS 12 2025'!B7:J497,9,FALSE),"")</f>
        <v>1.4</v>
      </c>
      <c r="G30" s="36">
        <v>2.5000000000000001E-2</v>
      </c>
      <c r="H30" s="34">
        <f>+G30*F30</f>
        <v>3.4999999999999996E-2</v>
      </c>
      <c r="I30" s="33" t="s">
        <v>289</v>
      </c>
      <c r="J30" s="32">
        <f>IFERROR(VLOOKUP(I30,'TARIFS 12 2025'!B7:J495,9,FALSE),"")</f>
        <v>4.0999999999999996</v>
      </c>
      <c r="K30" s="36">
        <v>0.04</v>
      </c>
      <c r="L30" s="34">
        <f t="shared" si="5"/>
        <v>0.16399999999999998</v>
      </c>
      <c r="M30" s="33"/>
      <c r="N30" s="32" t="str">
        <f>IFERROR(VLOOKUP(M30,'TARIFS 12 2025'!B7:J505,9,FALSE),"")</f>
        <v/>
      </c>
      <c r="O30" s="36"/>
      <c r="P30" s="34"/>
    </row>
    <row r="31" spans="1:16" x14ac:dyDescent="0.25">
      <c r="A31" s="33" t="s">
        <v>57</v>
      </c>
      <c r="B31" s="32">
        <f>IFERROR(VLOOKUP(A31,'TARIFS 12 2025'!B8:J530,9,FALSE),"")</f>
        <v>10.6</v>
      </c>
      <c r="C31" s="36">
        <v>0.01</v>
      </c>
      <c r="D31" s="34">
        <f t="shared" si="7"/>
        <v>0.106</v>
      </c>
      <c r="E31" s="33" t="s">
        <v>443</v>
      </c>
      <c r="F31" s="32">
        <f>IFERROR(VLOOKUP(E31,'TARIFS 12 2025'!B8:J498,9,FALSE),"")</f>
        <v>2.0499999999999998</v>
      </c>
      <c r="G31" s="36">
        <v>1.4999999999999999E-2</v>
      </c>
      <c r="H31" s="34">
        <f>+G31*F31</f>
        <v>3.0749999999999996E-2</v>
      </c>
      <c r="I31" s="33" t="s">
        <v>870</v>
      </c>
      <c r="J31" s="32">
        <f>IFERROR(VLOOKUP(I31,'TARIFS 12 2025'!B8:J496,9,FALSE),"")</f>
        <v>2.25</v>
      </c>
      <c r="K31" s="36">
        <v>0.03</v>
      </c>
      <c r="L31" s="34">
        <f t="shared" si="5"/>
        <v>6.7500000000000004E-2</v>
      </c>
      <c r="M31" s="33"/>
      <c r="N31" s="32" t="str">
        <f>IFERROR(VLOOKUP(M31,'TARIFS 12 2025'!B8:J506,9,FALSE),"")</f>
        <v/>
      </c>
      <c r="O31" s="36"/>
      <c r="P31" s="34"/>
    </row>
    <row r="32" spans="1:16" x14ac:dyDescent="0.25">
      <c r="A32" s="33" t="s">
        <v>797</v>
      </c>
      <c r="B32" s="32">
        <f>IFERROR(VLOOKUP(A32,'TARIFS 12 2025'!B9:J531,9,FALSE),"")</f>
        <v>4.95</v>
      </c>
      <c r="C32" s="36">
        <v>0.02</v>
      </c>
      <c r="D32" s="34">
        <f t="shared" si="7"/>
        <v>9.9000000000000005E-2</v>
      </c>
      <c r="E32" s="33"/>
      <c r="F32" s="32" t="str">
        <f>IFERROR(VLOOKUP(E32,'TARIFS 12 2025'!B9:J499,9,FALSE),"")</f>
        <v/>
      </c>
      <c r="G32" s="36"/>
      <c r="H32" s="34"/>
      <c r="I32" s="33"/>
      <c r="J32" s="32" t="str">
        <f>IFERROR(VLOOKUP(I32,'TARIFS 12 2025'!B9:J497,9,FALSE),"")</f>
        <v/>
      </c>
      <c r="K32" s="36"/>
      <c r="L32" s="34"/>
      <c r="M32" s="33"/>
      <c r="N32" s="32" t="str">
        <f>IFERROR(VLOOKUP(M32,'TARIFS 12 2025'!B9:J507,9,FALSE),"")</f>
        <v/>
      </c>
      <c r="O32" s="36"/>
      <c r="P32" s="34"/>
    </row>
    <row r="33" spans="1:16" x14ac:dyDescent="0.25">
      <c r="A33" s="33"/>
      <c r="B33" s="32" t="str">
        <f>IFERROR(VLOOKUP(A33,'TARIFS 12 2025'!B10:J532,9,FALSE),"")</f>
        <v/>
      </c>
      <c r="C33" s="36"/>
      <c r="D33" s="34"/>
      <c r="E33" s="33"/>
      <c r="F33" s="32" t="str">
        <f>IFERROR(VLOOKUP(E33,'TARIFS 12 2025'!B10:J500,9,FALSE),"")</f>
        <v/>
      </c>
      <c r="G33" s="36"/>
      <c r="H33" s="34"/>
      <c r="I33" s="33"/>
      <c r="J33" s="32" t="str">
        <f>IFERROR(VLOOKUP(I33,'TARIFS 12 2025'!B10:J498,9,FALSE),"")</f>
        <v/>
      </c>
      <c r="K33" s="36"/>
      <c r="L33" s="34"/>
      <c r="M33" s="33"/>
      <c r="N33" s="32" t="str">
        <f>IFERROR(VLOOKUP(M33,'TARIFS 12 2025'!B10:J508,9,FALSE),"")</f>
        <v/>
      </c>
      <c r="O33" s="36"/>
      <c r="P33" s="34"/>
    </row>
    <row r="34" spans="1:16" x14ac:dyDescent="0.25">
      <c r="A34" s="33"/>
      <c r="B34" s="32" t="str">
        <f>IFERROR(VLOOKUP(A34,'TARIFS 12 2025'!B11:J533,9,FALSE),"")</f>
        <v/>
      </c>
      <c r="C34" s="36"/>
      <c r="D34" s="34"/>
      <c r="E34" s="33"/>
      <c r="F34" s="32" t="str">
        <f>IFERROR(VLOOKUP(E34,'TARIFS 12 2025'!B11:J501,9,FALSE),"")</f>
        <v/>
      </c>
      <c r="G34" s="36"/>
      <c r="H34" s="34"/>
      <c r="I34" s="33"/>
      <c r="J34" s="32" t="str">
        <f>IFERROR(VLOOKUP(I34,'TARIFS 12 2025'!B11:J499,9,FALSE),"")</f>
        <v/>
      </c>
      <c r="K34" s="36"/>
      <c r="L34" s="34"/>
      <c r="M34" s="33"/>
      <c r="N34" s="32" t="str">
        <f>IFERROR(VLOOKUP(M34,'TARIFS 12 2025'!B11:J509,9,FALSE),"")</f>
        <v/>
      </c>
      <c r="O34" s="36"/>
      <c r="P34" s="34"/>
    </row>
    <row r="35" spans="1:16" x14ac:dyDescent="0.25">
      <c r="A35" s="33"/>
      <c r="B35" s="32" t="str">
        <f>IFERROR(VLOOKUP(A35,'TARIFS 12 2025'!B12:J534,9,FALSE),"")</f>
        <v/>
      </c>
      <c r="C35" s="36"/>
      <c r="D35" s="34"/>
      <c r="E35" s="33"/>
      <c r="F35" s="32"/>
      <c r="G35" s="36"/>
      <c r="H35" s="34"/>
      <c r="I35" s="33"/>
      <c r="J35" s="32" t="str">
        <f>IFERROR(VLOOKUP(I35,'TARIFS 12 2025'!B12:J500,9,FALSE),"")</f>
        <v/>
      </c>
      <c r="K35" s="36"/>
      <c r="L35" s="34"/>
      <c r="M35" s="33"/>
      <c r="N35" s="32"/>
      <c r="O35" s="36"/>
      <c r="P35" s="34"/>
    </row>
    <row r="36" spans="1:16" x14ac:dyDescent="0.25">
      <c r="A36" s="33"/>
      <c r="B36" s="32" t="str">
        <f>IFERROR(VLOOKUP(A36,'TARIFS 12 2025'!B13:J535,9,FALSE),"")</f>
        <v/>
      </c>
      <c r="C36" s="36"/>
      <c r="D36" s="34"/>
      <c r="E36" s="33"/>
      <c r="F36" s="32" t="str">
        <f>IFERROR(VLOOKUP(E36,'TARIFS 12 2025'!B13:J503,9,FALSE),"")</f>
        <v/>
      </c>
      <c r="G36" s="36"/>
      <c r="H36" s="34"/>
      <c r="I36" s="33"/>
      <c r="J36" s="32" t="str">
        <f>IFERROR(VLOOKUP(I36,'TARIFS 12 2025'!F13:N503,9,FALSE),"")</f>
        <v/>
      </c>
      <c r="K36" s="36"/>
      <c r="L36" s="34"/>
      <c r="M36" s="33"/>
      <c r="N36" s="32" t="str">
        <f>IFERROR(VLOOKUP(M36,'TARIFS 12 2025'!J13:R503,9,FALSE),"")</f>
        <v/>
      </c>
      <c r="O36" s="36"/>
      <c r="P36" s="34"/>
    </row>
    <row r="37" spans="1:16" x14ac:dyDescent="0.25">
      <c r="A37" s="33"/>
      <c r="B37" s="32"/>
      <c r="C37" s="36"/>
      <c r="D37" s="34"/>
      <c r="E37" s="33"/>
      <c r="F37" s="32" t="str">
        <f>IFERROR(VLOOKUP(E37,'TARIFS 12 2025'!B14:J504,9,FALSE),"")</f>
        <v/>
      </c>
      <c r="G37" s="36"/>
      <c r="H37" s="34"/>
      <c r="I37" s="33"/>
      <c r="J37" s="32" t="str">
        <f>IFERROR(VLOOKUP(I37,'TARIFS 12 2025'!F14:N504,9,FALSE),"")</f>
        <v/>
      </c>
      <c r="K37" s="36"/>
      <c r="L37" s="34"/>
      <c r="M37" s="33"/>
      <c r="N37" s="32" t="str">
        <f>IFERROR(VLOOKUP(M37,'TARIFS 12 2025'!J14:R504,9,FALSE),"")</f>
        <v/>
      </c>
      <c r="O37" s="36"/>
      <c r="P37" s="34"/>
    </row>
    <row r="38" spans="1:16" x14ac:dyDescent="0.25">
      <c r="A38" s="24"/>
      <c r="D38" s="25"/>
      <c r="E38" s="24"/>
      <c r="H38" s="25"/>
      <c r="I38" s="24"/>
      <c r="L38" s="25"/>
      <c r="M38" s="24"/>
      <c r="P38" s="25"/>
    </row>
    <row r="39" spans="1:16" x14ac:dyDescent="0.25">
      <c r="A39" s="24"/>
      <c r="C39" t="s">
        <v>939</v>
      </c>
      <c r="D39" s="26">
        <f>+SUM(D26:D37)</f>
        <v>1.1096333333333335</v>
      </c>
      <c r="E39" s="24"/>
      <c r="G39" t="s">
        <v>939</v>
      </c>
      <c r="H39" s="26">
        <f>+SUM(H26:H37)</f>
        <v>0.75875000000000004</v>
      </c>
      <c r="I39" s="24"/>
      <c r="K39" t="s">
        <v>939</v>
      </c>
      <c r="L39" s="26">
        <f>+SUM(L26:L37)</f>
        <v>0.72641000000000011</v>
      </c>
      <c r="M39" s="24"/>
      <c r="O39" t="s">
        <v>939</v>
      </c>
      <c r="P39" s="26" t="e">
        <f>+SUM(P26:P37)</f>
        <v>#VALUE!</v>
      </c>
    </row>
    <row r="40" spans="1:16" x14ac:dyDescent="0.25">
      <c r="A40" s="24"/>
      <c r="C40" t="s">
        <v>939</v>
      </c>
      <c r="D40" s="27">
        <f>+D39</f>
        <v>1.1096333333333335</v>
      </c>
      <c r="E40" s="24"/>
      <c r="G40" t="s">
        <v>939</v>
      </c>
      <c r="H40" s="27">
        <f>+H39</f>
        <v>0.75875000000000004</v>
      </c>
      <c r="I40" s="24"/>
      <c r="K40" t="s">
        <v>939</v>
      </c>
      <c r="L40" s="27">
        <f>+L39</f>
        <v>0.72641000000000011</v>
      </c>
      <c r="M40" s="24"/>
      <c r="O40" t="s">
        <v>939</v>
      </c>
      <c r="P40" s="27" t="e">
        <f>+P39</f>
        <v>#VALUE!</v>
      </c>
    </row>
    <row r="41" spans="1:16" x14ac:dyDescent="0.25">
      <c r="A41" s="24"/>
      <c r="D41" s="25"/>
      <c r="E41" s="24"/>
      <c r="H41" s="25"/>
      <c r="I41" s="24"/>
      <c r="L41" s="25"/>
      <c r="M41" s="24"/>
      <c r="P41" s="25"/>
    </row>
    <row r="42" spans="1:16" x14ac:dyDescent="0.25">
      <c r="A42" s="93" t="s">
        <v>1010</v>
      </c>
      <c r="B42" s="1">
        <v>4.5</v>
      </c>
      <c r="C42" t="s">
        <v>941</v>
      </c>
      <c r="D42" s="27">
        <f>+B42*0.945</f>
        <v>4.2524999999999995</v>
      </c>
      <c r="E42" s="93" t="s">
        <v>1010</v>
      </c>
      <c r="F42" s="1">
        <v>4.5</v>
      </c>
      <c r="G42" t="s">
        <v>941</v>
      </c>
      <c r="H42" s="27">
        <f>+F42*0.945</f>
        <v>4.2524999999999995</v>
      </c>
      <c r="I42" s="93" t="s">
        <v>1010</v>
      </c>
      <c r="J42" s="1"/>
      <c r="K42" t="s">
        <v>941</v>
      </c>
      <c r="L42" s="27">
        <f>+J42*0.945</f>
        <v>0</v>
      </c>
      <c r="M42" s="24"/>
      <c r="O42" t="s">
        <v>941</v>
      </c>
      <c r="P42" s="83">
        <f>4.7*0.945</f>
        <v>4.4414999999999996</v>
      </c>
    </row>
    <row r="43" spans="1:16" ht="15.75" x14ac:dyDescent="0.25">
      <c r="A43" s="24"/>
      <c r="C43" t="s">
        <v>942</v>
      </c>
      <c r="D43" s="31">
        <f>+D42/D40</f>
        <v>3.8323470215386455</v>
      </c>
      <c r="E43" s="24"/>
      <c r="G43" t="s">
        <v>942</v>
      </c>
      <c r="H43" s="31">
        <f>+H42/H40</f>
        <v>5.6046128500823711</v>
      </c>
      <c r="I43" s="24"/>
      <c r="K43" t="s">
        <v>942</v>
      </c>
      <c r="L43" s="31">
        <f>+L42/L40</f>
        <v>0</v>
      </c>
      <c r="M43" s="24"/>
      <c r="O43" t="s">
        <v>942</v>
      </c>
      <c r="P43" s="31" t="e">
        <f>+P42/P40</f>
        <v>#VALUE!</v>
      </c>
    </row>
    <row r="44" spans="1:16" ht="15.75" thickBot="1" x14ac:dyDescent="0.3">
      <c r="A44" s="28"/>
      <c r="B44" s="29"/>
      <c r="C44" s="29" t="s">
        <v>0</v>
      </c>
      <c r="D44" s="94">
        <f>(D42-D40)/D42</f>
        <v>0.73906329610033306</v>
      </c>
      <c r="E44" s="28"/>
      <c r="F44" s="29"/>
      <c r="G44" s="29" t="s">
        <v>0</v>
      </c>
      <c r="H44" s="94">
        <f>(H42-H40)/H42</f>
        <v>0.82157554379776598</v>
      </c>
      <c r="I44" s="28"/>
      <c r="J44" s="29"/>
      <c r="K44" s="29" t="s">
        <v>0</v>
      </c>
      <c r="L44" s="94" t="e">
        <f>(L42-L40)/L42</f>
        <v>#DIV/0!</v>
      </c>
      <c r="M44" s="28"/>
      <c r="N44" s="29"/>
      <c r="O44" s="29"/>
      <c r="P44" s="30"/>
    </row>
  </sheetData>
  <mergeCells count="8">
    <mergeCell ref="A2:D2"/>
    <mergeCell ref="E2:H2"/>
    <mergeCell ref="I2:L2"/>
    <mergeCell ref="M2:P2"/>
    <mergeCell ref="A24:D24"/>
    <mergeCell ref="E24:H24"/>
    <mergeCell ref="I24:L24"/>
    <mergeCell ref="M24:P24"/>
  </mergeCells>
  <conditionalFormatting sqref="D21">
    <cfRule type="cellIs" dxfId="23" priority="22" operator="greaterThan">
      <formula>$B$1</formula>
    </cfRule>
    <cfRule type="cellIs" dxfId="22" priority="23" operator="between">
      <formula>$B$1/2</formula>
      <formula>$B$1</formula>
    </cfRule>
    <cfRule type="cellIs" dxfId="21" priority="24" operator="lessThan">
      <formula>$B$1/2</formula>
    </cfRule>
  </conditionalFormatting>
  <conditionalFormatting sqref="D43">
    <cfRule type="cellIs" dxfId="20" priority="10" operator="greaterThan">
      <formula>$B$1</formula>
    </cfRule>
    <cfRule type="cellIs" dxfId="19" priority="11" operator="between">
      <formula>$B$1/2</formula>
      <formula>$B$1</formula>
    </cfRule>
    <cfRule type="cellIs" dxfId="18" priority="12" operator="lessThan">
      <formula>$B$1/2</formula>
    </cfRule>
  </conditionalFormatting>
  <conditionalFormatting sqref="H21">
    <cfRule type="cellIs" dxfId="17" priority="19" operator="greaterThan">
      <formula>$B$1</formula>
    </cfRule>
    <cfRule type="cellIs" dxfId="16" priority="20" operator="between">
      <formula>$B$1/2</formula>
      <formula>$B$1</formula>
    </cfRule>
    <cfRule type="cellIs" dxfId="15" priority="21" operator="lessThan">
      <formula>$B$1/2</formula>
    </cfRule>
  </conditionalFormatting>
  <conditionalFormatting sqref="H43">
    <cfRule type="cellIs" dxfId="14" priority="7" operator="greaterThan">
      <formula>$B$1</formula>
    </cfRule>
    <cfRule type="cellIs" dxfId="13" priority="8" operator="between">
      <formula>$B$1/2</formula>
      <formula>$B$1</formula>
    </cfRule>
    <cfRule type="cellIs" dxfId="12" priority="9" operator="lessThan">
      <formula>$B$1/2</formula>
    </cfRule>
  </conditionalFormatting>
  <conditionalFormatting sqref="L21">
    <cfRule type="cellIs" dxfId="11" priority="16" operator="greaterThan">
      <formula>$B$1</formula>
    </cfRule>
    <cfRule type="cellIs" dxfId="10" priority="17" operator="between">
      <formula>$B$1/2</formula>
      <formula>$B$1</formula>
    </cfRule>
    <cfRule type="cellIs" dxfId="9" priority="18" operator="lessThan">
      <formula>$B$1/2</formula>
    </cfRule>
  </conditionalFormatting>
  <conditionalFormatting sqref="L43">
    <cfRule type="cellIs" dxfId="8" priority="1" operator="greaterThan">
      <formula>$B$1</formula>
    </cfRule>
    <cfRule type="cellIs" dxfId="7" priority="2" operator="between">
      <formula>$B$1/2</formula>
      <formula>$B$1</formula>
    </cfRule>
    <cfRule type="cellIs" dxfId="6" priority="3" operator="lessThan">
      <formula>$B$1/2</formula>
    </cfRule>
  </conditionalFormatting>
  <conditionalFormatting sqref="P21">
    <cfRule type="cellIs" dxfId="5" priority="13" operator="greaterThan">
      <formula>$B$1</formula>
    </cfRule>
    <cfRule type="cellIs" dxfId="4" priority="14" operator="between">
      <formula>$B$1/2</formula>
      <formula>$B$1</formula>
    </cfRule>
    <cfRule type="cellIs" dxfId="3" priority="15" operator="lessThan">
      <formula>$B$1/2</formula>
    </cfRule>
  </conditionalFormatting>
  <conditionalFormatting sqref="P43">
    <cfRule type="cellIs" dxfId="2" priority="4" operator="greaterThan">
      <formula>$B$1</formula>
    </cfRule>
    <cfRule type="cellIs" dxfId="1" priority="5" operator="between">
      <formula>$B$1/2</formula>
      <formula>$B$1</formula>
    </cfRule>
    <cfRule type="cellIs" dxfId="0" priority="6" operator="lessThan">
      <formula>$B$1/2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AA8041-D30F-4776-B6D4-3C5C8C9D43B2}">
          <x14:formula1>
            <xm:f>'TARIFS 12 2025'!$B:$B</xm:f>
          </x14:formula1>
          <xm:sqref>A4:A15 I26:I37 E26:E37 M26:M37 A26:A37 M4:M15 I4:I15 E4:E15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EVOLUTION BEURRE</vt:lpstr>
      <vt:lpstr>MERCURIALE -5%</vt:lpstr>
      <vt:lpstr>SUIVI STOCKS LEBHAR</vt:lpstr>
      <vt:lpstr>TARIFS 12 2025</vt:lpstr>
      <vt:lpstr>VIENNOISERIE - PAP PARIS</vt:lpstr>
      <vt:lpstr>REVENTE - PAP PARIS</vt:lpstr>
      <vt:lpstr>PAIN - PAP PARIS</vt:lpstr>
      <vt:lpstr>PATISSERIE - PAP PARIS</vt:lpstr>
      <vt:lpstr>TRAITEUR - PAP PARIS</vt:lpstr>
      <vt:lpstr>OUTILS</vt:lpstr>
      <vt:lpstr>PATISSERIE - BOULANGE</vt:lpstr>
      <vt:lpstr>TRAITEUR - BOULANGE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MONNERET</dc:creator>
  <cp:keywords/>
  <dc:description/>
  <cp:lastModifiedBy>Alexis MONNERET</cp:lastModifiedBy>
  <cp:revision/>
  <dcterms:created xsi:type="dcterms:W3CDTF">2023-10-18T14:14:38Z</dcterms:created>
  <dcterms:modified xsi:type="dcterms:W3CDTF">2026-02-23T09:32:55Z</dcterms:modified>
  <cp:category/>
  <cp:contentStatus/>
</cp:coreProperties>
</file>